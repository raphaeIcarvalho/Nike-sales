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5839\OneDrive\Backup Geral\OneDrive\Documentos\Raphael\"/>
    </mc:Choice>
  </mc:AlternateContent>
  <xr:revisionPtr revIDLastSave="0" documentId="8_{A31BC649-A779-419F-9A6E-095A7FC1D426}" xr6:coauthVersionLast="47" xr6:coauthVersionMax="47" xr10:uidLastSave="{00000000-0000-0000-0000-000000000000}"/>
  <bookViews>
    <workbookView xWindow="-120" yWindow="-120" windowWidth="21840" windowHeight="13140" activeTab="3" xr2:uid="{871E995A-E13D-419B-A0E2-35F0996F1209}"/>
  </bookViews>
  <sheets>
    <sheet name="Assets" sheetId="4" r:id="rId1"/>
    <sheet name="Bases" sheetId="1" r:id="rId2"/>
    <sheet name="Cálculos" sheetId="3" r:id="rId3"/>
    <sheet name="Dashboard" sheetId="2" r:id="rId4"/>
  </sheets>
  <definedNames>
    <definedName name="_xlnm._FilterDatabase" localSheetId="1" hidden="1">Bases!$A$1:$K$61</definedName>
    <definedName name="SegmentaçãodeDados_Modelo_de_Tênis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D3" i="1"/>
  <c r="D4" i="1"/>
  <c r="D5" i="1"/>
  <c r="D6" i="1"/>
  <c r="J6" i="1" s="1"/>
  <c r="D7" i="1"/>
  <c r="D8" i="1"/>
  <c r="D9" i="1"/>
  <c r="D10" i="1"/>
  <c r="D11" i="1"/>
  <c r="D12" i="1"/>
  <c r="D13" i="1"/>
  <c r="D14" i="1"/>
  <c r="J44" i="1" s="1"/>
  <c r="D15" i="1"/>
  <c r="D16" i="1"/>
  <c r="D17" i="1"/>
  <c r="D18" i="1"/>
  <c r="D19" i="1"/>
  <c r="D20" i="1"/>
  <c r="D21" i="1"/>
  <c r="J21" i="1" s="1"/>
  <c r="D22" i="1"/>
  <c r="J52" i="1" s="1"/>
  <c r="D23" i="1"/>
  <c r="J53" i="1" s="1"/>
  <c r="D24" i="1"/>
  <c r="D25" i="1"/>
  <c r="D26" i="1"/>
  <c r="D27" i="1"/>
  <c r="D28" i="1"/>
  <c r="D29" i="1"/>
  <c r="J29" i="1" s="1"/>
  <c r="D30" i="1"/>
  <c r="J60" i="1" s="1"/>
  <c r="D31" i="1"/>
  <c r="J61" i="1" s="1"/>
  <c r="D32" i="1"/>
  <c r="D33" i="1"/>
  <c r="J3" i="1" s="1"/>
  <c r="D34" i="1"/>
  <c r="J4" i="1" s="1"/>
  <c r="D35" i="1"/>
  <c r="D36" i="1"/>
  <c r="D37" i="1"/>
  <c r="J7" i="1" s="1"/>
  <c r="D38" i="1"/>
  <c r="D39" i="1"/>
  <c r="D40" i="1"/>
  <c r="D41" i="1"/>
  <c r="J11" i="1" s="1"/>
  <c r="D42" i="1"/>
  <c r="J12" i="1" s="1"/>
  <c r="D43" i="1"/>
  <c r="D44" i="1"/>
  <c r="D45" i="1"/>
  <c r="D46" i="1"/>
  <c r="J16" i="1" s="1"/>
  <c r="D47" i="1"/>
  <c r="D48" i="1"/>
  <c r="D49" i="1"/>
  <c r="J19" i="1" s="1"/>
  <c r="D50" i="1"/>
  <c r="J20" i="1" s="1"/>
  <c r="D51" i="1"/>
  <c r="D52" i="1"/>
  <c r="D53" i="1"/>
  <c r="D54" i="1"/>
  <c r="J24" i="1" s="1"/>
  <c r="D55" i="1"/>
  <c r="D56" i="1"/>
  <c r="D57" i="1"/>
  <c r="J27" i="1" s="1"/>
  <c r="D58" i="1"/>
  <c r="J28" i="1" s="1"/>
  <c r="D59" i="1"/>
  <c r="D60" i="1"/>
  <c r="D61" i="1"/>
  <c r="D2" i="1"/>
  <c r="J5" i="1"/>
  <c r="J13" i="1"/>
  <c r="J15" i="1"/>
  <c r="J25" i="1"/>
  <c r="J26" i="1"/>
  <c r="J35" i="1"/>
  <c r="J51" i="1"/>
  <c r="J22" i="1" l="1"/>
  <c r="J59" i="1"/>
  <c r="J41" i="1"/>
  <c r="J45" i="1"/>
  <c r="J43" i="1"/>
  <c r="J36" i="1"/>
  <c r="J14" i="1"/>
  <c r="J56" i="1"/>
  <c r="J48" i="1"/>
  <c r="J40" i="1"/>
  <c r="J17" i="1"/>
  <c r="J9" i="1"/>
  <c r="J54" i="1"/>
  <c r="J46" i="1"/>
  <c r="J38" i="1"/>
  <c r="J37" i="1"/>
  <c r="J58" i="1"/>
  <c r="J33" i="1"/>
  <c r="J55" i="1"/>
  <c r="J47" i="1"/>
  <c r="J39" i="1"/>
  <c r="J57" i="1"/>
  <c r="J31" i="1"/>
  <c r="J49" i="1"/>
  <c r="J30" i="1"/>
  <c r="J10" i="1"/>
  <c r="J23" i="1"/>
  <c r="J18" i="1"/>
  <c r="J8" i="1"/>
  <c r="J50" i="1"/>
  <c r="J34" i="1"/>
  <c r="J32" i="1"/>
  <c r="J42" i="1"/>
  <c r="J2" i="1"/>
</calcChain>
</file>

<file path=xl/sharedStrings.xml><?xml version="1.0" encoding="utf-8"?>
<sst xmlns="http://schemas.openxmlformats.org/spreadsheetml/2006/main" count="269" uniqueCount="60">
  <si>
    <t>Data da Venda</t>
  </si>
  <si>
    <t>Loja de Venda</t>
  </si>
  <si>
    <t>Modelo do Tênis</t>
  </si>
  <si>
    <t>Preço de Venda (R$)</t>
  </si>
  <si>
    <t>Quantidade Vendida</t>
  </si>
  <si>
    <t>Cidade</t>
  </si>
  <si>
    <t>Idade do Comprador</t>
  </si>
  <si>
    <t>Gênero do Comprador</t>
  </si>
  <si>
    <t>Loja A</t>
  </si>
  <si>
    <t>Nike Air Max 97</t>
  </si>
  <si>
    <t>São Paulo</t>
  </si>
  <si>
    <t>Masculino</t>
  </si>
  <si>
    <t>Loja B</t>
  </si>
  <si>
    <t>Nike Revolution 5</t>
  </si>
  <si>
    <t>Rio de Janeiro</t>
  </si>
  <si>
    <t>Feminino</t>
  </si>
  <si>
    <t>Loja C</t>
  </si>
  <si>
    <t>Nike Air Zoom Pegasus</t>
  </si>
  <si>
    <t>Belo Horizonte</t>
  </si>
  <si>
    <t>Nike Air Force 1</t>
  </si>
  <si>
    <t>Curitiba</t>
  </si>
  <si>
    <t>Nike Air Max 270</t>
  </si>
  <si>
    <t>Porto Alegre</t>
  </si>
  <si>
    <t>Nike Dunk Low</t>
  </si>
  <si>
    <t>Salvador</t>
  </si>
  <si>
    <t>Nike SB Chron 2</t>
  </si>
  <si>
    <t>Fortaleza</t>
  </si>
  <si>
    <t>Nike Air VaporMax</t>
  </si>
  <si>
    <t>Recife</t>
  </si>
  <si>
    <t>Nike Joyride</t>
  </si>
  <si>
    <t>Manaus</t>
  </si>
  <si>
    <t>Nike Metcon 6</t>
  </si>
  <si>
    <t>Brasília</t>
  </si>
  <si>
    <t>Goiânia</t>
  </si>
  <si>
    <t>Campo Grande</t>
  </si>
  <si>
    <t>Florianópolis</t>
  </si>
  <si>
    <t>São Luís</t>
  </si>
  <si>
    <t>Natal</t>
  </si>
  <si>
    <t>Teresina</t>
  </si>
  <si>
    <t>João Pessoa</t>
  </si>
  <si>
    <t>Aracaju</t>
  </si>
  <si>
    <t>Maceió</t>
  </si>
  <si>
    <t>Palmas</t>
  </si>
  <si>
    <t>Vitória</t>
  </si>
  <si>
    <t>Cuiabá</t>
  </si>
  <si>
    <t>Belém</t>
  </si>
  <si>
    <t>Porto Velho</t>
  </si>
  <si>
    <t>Boa Vista</t>
  </si>
  <si>
    <t>Macapá</t>
  </si>
  <si>
    <t>Rio Branco</t>
  </si>
  <si>
    <t>Duplicidade ?</t>
  </si>
  <si>
    <t>Modelo de Tênis</t>
  </si>
  <si>
    <t>Percentual de Vendas</t>
  </si>
  <si>
    <t>Soma de Quantidade Vendida</t>
  </si>
  <si>
    <t>Rótulos de Linha</t>
  </si>
  <si>
    <t>(vazio)</t>
  </si>
  <si>
    <t>Total Geral</t>
  </si>
  <si>
    <t>(Tudo)</t>
  </si>
  <si>
    <t>NIKES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</si>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</sst>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ExtraBold"/>
      <family val="2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0" borderId="0" xfId="0" applyBorder="1"/>
    <xf numFmtId="0" fontId="4" fillId="0" borderId="0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3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color rgb="FF000000"/>
      </font>
      <fill>
        <patternFill patternType="solid">
          <fgColor indexed="64"/>
          <bgColor rgb="FFFFEF9C"/>
        </patternFill>
      </fill>
    </dxf>
  </dxfs>
  <tableStyles count="1" defaultTableStyle="TableStyleMedium2" defaultPivotStyle="PivotStyleLight16">
    <tableStyle name="SlicerStyleOther1 2" pivot="0" table="0" count="10" xr9:uid="{17EB916E-323E-45A1-A321-1A4544AAC043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[nikes-sales.xlsx]Cálculos!Tabela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Cálculos!$B$9:$B$20</c:f>
              <c:strCache>
                <c:ptCount val="11"/>
                <c:pt idx="0">
                  <c:v>Nike Air Force 1</c:v>
                </c:pt>
                <c:pt idx="1">
                  <c:v>Nike Air Max 270</c:v>
                </c:pt>
                <c:pt idx="2">
                  <c:v>Nike Air Max 97</c:v>
                </c:pt>
                <c:pt idx="3">
                  <c:v>Nike Air VaporMax</c:v>
                </c:pt>
                <c:pt idx="4">
                  <c:v>Nike Air Zoom Pegasus</c:v>
                </c:pt>
                <c:pt idx="5">
                  <c:v>Nike Dunk Low</c:v>
                </c:pt>
                <c:pt idx="6">
                  <c:v>Nike Joyride</c:v>
                </c:pt>
                <c:pt idx="7">
                  <c:v>Nike Metcon 6</c:v>
                </c:pt>
                <c:pt idx="8">
                  <c:v>Nike Revolution 5</c:v>
                </c:pt>
                <c:pt idx="9">
                  <c:v>Nike SB Chron 2</c:v>
                </c:pt>
                <c:pt idx="10">
                  <c:v>(vazio)</c:v>
                </c:pt>
              </c:strCache>
            </c:strRef>
          </c:cat>
          <c:val>
            <c:numRef>
              <c:f>Cálculos!$C$9:$C$20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9-497E-AC31-A0B82A77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007696"/>
        <c:axId val="1504001936"/>
      </c:barChart>
      <c:catAx>
        <c:axId val="150400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001936"/>
        <c:crosses val="autoZero"/>
        <c:auto val="1"/>
        <c:lblAlgn val="ctr"/>
        <c:lblOffset val="100"/>
        <c:noMultiLvlLbl val="0"/>
      </c:catAx>
      <c:valAx>
        <c:axId val="15040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0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[nikes-sales.xlsx]Cálculos!Tabela dinâmica1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Cálculos!$B$9:$B$20</c:f>
              <c:strCache>
                <c:ptCount val="11"/>
                <c:pt idx="0">
                  <c:v>Nike Air Force 1</c:v>
                </c:pt>
                <c:pt idx="1">
                  <c:v>Nike Air Max 270</c:v>
                </c:pt>
                <c:pt idx="2">
                  <c:v>Nike Air Max 97</c:v>
                </c:pt>
                <c:pt idx="3">
                  <c:v>Nike Air VaporMax</c:v>
                </c:pt>
                <c:pt idx="4">
                  <c:v>Nike Air Zoom Pegasus</c:v>
                </c:pt>
                <c:pt idx="5">
                  <c:v>Nike Dunk Low</c:v>
                </c:pt>
                <c:pt idx="6">
                  <c:v>Nike Joyride</c:v>
                </c:pt>
                <c:pt idx="7">
                  <c:v>Nike Metcon 6</c:v>
                </c:pt>
                <c:pt idx="8">
                  <c:v>Nike Revolution 5</c:v>
                </c:pt>
                <c:pt idx="9">
                  <c:v>Nike SB Chron 2</c:v>
                </c:pt>
                <c:pt idx="10">
                  <c:v>(vazio)</c:v>
                </c:pt>
              </c:strCache>
            </c:strRef>
          </c:cat>
          <c:val>
            <c:numRef>
              <c:f>Cálculos!$C$9:$C$20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E-4CFC-BC63-C988877D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007696"/>
        <c:axId val="1504001936"/>
      </c:barChart>
      <c:catAx>
        <c:axId val="150400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001936"/>
        <c:crosses val="autoZero"/>
        <c:auto val="1"/>
        <c:lblAlgn val="ctr"/>
        <c:lblOffset val="100"/>
        <c:noMultiLvlLbl val="0"/>
      </c:catAx>
      <c:valAx>
        <c:axId val="15040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0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256176</xdr:colOff>
      <xdr:row>4</xdr:row>
      <xdr:rowOff>95251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257935-D92A-46A0-E20A-DDF7902B1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399301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100012</xdr:rowOff>
    </xdr:from>
    <xdr:to>
      <xdr:col>10</xdr:col>
      <xdr:colOff>495300</xdr:colOff>
      <xdr:row>19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65E841-5058-FBAC-9E9D-1B9311C24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228600</xdr:colOff>
      <xdr:row>6</xdr:row>
      <xdr:rowOff>19050</xdr:rowOff>
    </xdr:from>
    <xdr:to>
      <xdr:col>14</xdr:col>
      <xdr:colOff>228600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odelo de Tênis">
              <a:extLst>
                <a:ext uri="{FF2B5EF4-FFF2-40B4-BE49-F238E27FC236}">
                  <a16:creationId xmlns:a16="http://schemas.microsoft.com/office/drawing/2014/main" id="{23C7D229-641B-3682-CF28-66A425DE43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 de Tên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0650" y="1162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</xdr:row>
      <xdr:rowOff>76200</xdr:rowOff>
    </xdr:from>
    <xdr:to>
      <xdr:col>14</xdr:col>
      <xdr:colOff>504824</xdr:colOff>
      <xdr:row>20</xdr:row>
      <xdr:rowOff>38101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3F34792-7FBD-9D10-44A0-D88F089F1D1C}"/>
            </a:ext>
          </a:extLst>
        </xdr:cNvPr>
        <xdr:cNvSpPr/>
      </xdr:nvSpPr>
      <xdr:spPr>
        <a:xfrm>
          <a:off x="3019425" y="1485900"/>
          <a:ext cx="6019799" cy="32004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276225</xdr:colOff>
      <xdr:row>0</xdr:row>
      <xdr:rowOff>19050</xdr:rowOff>
    </xdr:from>
    <xdr:to>
      <xdr:col>4</xdr:col>
      <xdr:colOff>477055</xdr:colOff>
      <xdr:row>0</xdr:row>
      <xdr:rowOff>962025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2E20CE-32D0-BA6A-9F2C-2F637BD2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9050"/>
          <a:ext cx="2639230" cy="942975"/>
        </a:xfrm>
        <a:prstGeom prst="rect">
          <a:avLst/>
        </a:prstGeom>
      </xdr:spPr>
    </xdr:pic>
    <xdr:clientData/>
  </xdr:twoCellAnchor>
  <xdr:twoCellAnchor editAs="absolute">
    <xdr:from>
      <xdr:col>5</xdr:col>
      <xdr:colOff>295274</xdr:colOff>
      <xdr:row>4</xdr:row>
      <xdr:rowOff>123825</xdr:rowOff>
    </xdr:from>
    <xdr:to>
      <xdr:col>14</xdr:col>
      <xdr:colOff>228599</xdr:colOff>
      <xdr:row>19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A1831B-5785-45D1-8BCF-DF9007B22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361950</xdr:colOff>
      <xdr:row>4</xdr:row>
      <xdr:rowOff>90488</xdr:rowOff>
    </xdr:from>
    <xdr:to>
      <xdr:col>3</xdr:col>
      <xdr:colOff>361950</xdr:colOff>
      <xdr:row>18</xdr:row>
      <xdr:rowOff>90488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odelo de Tênis 1">
              <a:extLst>
                <a:ext uri="{FF2B5EF4-FFF2-40B4-BE49-F238E27FC236}">
                  <a16:creationId xmlns:a16="http://schemas.microsoft.com/office/drawing/2014/main" id="{E2E53A77-9836-4E41-8EB1-0CDF8EBC72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 de Têni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1690688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5839" refreshedDate="46043.847202430552" createdVersion="8" refreshedVersion="8" minRefreshableVersion="3" recordCount="65" xr:uid="{4E4AD718-192F-4F51-B131-7A2C0283FEB3}">
  <cacheSource type="worksheet">
    <worksheetSource ref="A1:K1048576" sheet="Bases"/>
  </cacheSource>
  <cacheFields count="11">
    <cacheField name="Data da Venda" numFmtId="0">
      <sharedItems containsNonDate="0" containsDate="1" containsString="0" containsBlank="1" minDate="2023-12-01T00:00:00" maxDate="2024-01-31T00:00:00"/>
    </cacheField>
    <cacheField name="Loja de Venda" numFmtId="0">
      <sharedItems containsBlank="1"/>
    </cacheField>
    <cacheField name="Modelo do Tênis" numFmtId="0">
      <sharedItems containsBlank="1" count="11">
        <s v="Nike Air Max 97"/>
        <s v="Nike Revolution 5"/>
        <s v="Nike Air Zoom Pegasus"/>
        <s v="Nike Air Force 1"/>
        <s v="Nike Air Max 270"/>
        <s v="Nike Dunk Low"/>
        <s v="Nike SB Chron 2"/>
        <s v="Nike Air VaporMax"/>
        <s v="Nike Joyride"/>
        <s v="Nike Metcon 6"/>
        <m/>
      </sharedItems>
    </cacheField>
    <cacheField name="Modelo de Tênis" numFmtId="0">
      <sharedItems containsBlank="1" count="11">
        <s v="Air Max 97"/>
        <s v="Revolution 5"/>
        <s v="Air Zoom Pegasus"/>
        <s v="Air Force 1"/>
        <s v="Air Max 270"/>
        <s v="Dunk Low"/>
        <s v="SB Chron 2"/>
        <s v="Air VaporMax"/>
        <s v="Joyride"/>
        <s v="Metcon 6"/>
        <m/>
      </sharedItems>
    </cacheField>
    <cacheField name="Preço de Venda (R$)" numFmtId="0">
      <sharedItems containsString="0" containsBlank="1" containsNumber="1" containsInteger="1" minValue="299" maxValue="900"/>
    </cacheField>
    <cacheField name="Quantidade Vendida" numFmtId="0">
      <sharedItems containsString="0" containsBlank="1" containsNumber="1" containsInteger="1" minValue="1" maxValue="2"/>
    </cacheField>
    <cacheField name="Cidade" numFmtId="0">
      <sharedItems containsBlank="1"/>
    </cacheField>
    <cacheField name="Idade do Comprador" numFmtId="0">
      <sharedItems containsString="0" containsBlank="1" containsNumber="1" containsInteger="1" minValue="19" maxValue="45"/>
    </cacheField>
    <cacheField name="Gênero do Comprador" numFmtId="0">
      <sharedItems containsBlank="1"/>
    </cacheField>
    <cacheField name="Duplicidade ?" numFmtId="0">
      <sharedItems containsBlank="1"/>
    </cacheField>
    <cacheField name="Percentual de Vendas" numFmtId="0">
      <sharedItems containsString="0" containsBlank="1" containsNumber="1" minValue="2.4241932868493594E-2" maxValue="7.2974945268791044E-2"/>
    </cacheField>
  </cacheFields>
  <extLst>
    <ext xmlns:x14="http://schemas.microsoft.com/office/spreadsheetml/2009/9/main" uri="{725AE2AE-9491-48be-B2B4-4EB974FC3084}">
      <x14:pivotCacheDefinition pivotCacheId="16033356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d v="2023-12-01T00:00:00"/>
    <s v="Loja A"/>
    <x v="0"/>
    <x v="0"/>
    <n v="749"/>
    <n v="1"/>
    <s v="São Paulo"/>
    <n v="24"/>
    <s v="Masculino"/>
    <s v="Único"/>
    <n v="6.0731371118138325E-2"/>
  </r>
  <r>
    <d v="2023-12-02T00:00:00"/>
    <s v="Loja B"/>
    <x v="1"/>
    <x v="1"/>
    <n v="299"/>
    <n v="2"/>
    <s v="Rio de Janeiro"/>
    <n v="30"/>
    <s v="Feminino"/>
    <s v="Único"/>
    <n v="2.4241932868493594E-2"/>
  </r>
  <r>
    <d v="2023-12-03T00:00:00"/>
    <s v="Loja C"/>
    <x v="2"/>
    <x v="2"/>
    <n v="599"/>
    <n v="1"/>
    <s v="Belo Horizonte"/>
    <n v="35"/>
    <s v="Masculino"/>
    <s v="Único"/>
    <n v="4.8568880240006489E-2"/>
  </r>
  <r>
    <d v="2023-12-04T00:00:00"/>
    <s v="Loja A"/>
    <x v="3"/>
    <x v="3"/>
    <n v="549"/>
    <n v="1"/>
    <s v="Curitiba"/>
    <n v="22"/>
    <s v="Feminino"/>
    <s v="Único"/>
    <n v="4.4514716613962536E-2"/>
  </r>
  <r>
    <d v="2023-12-05T00:00:00"/>
    <s v="Loja B"/>
    <x v="4"/>
    <x v="4"/>
    <n v="649"/>
    <n v="1"/>
    <s v="Porto Alegre"/>
    <n v="28"/>
    <s v="Feminino"/>
    <s v="Único"/>
    <n v="5.2618777363385764E-2"/>
  </r>
  <r>
    <d v="2023-12-06T00:00:00"/>
    <s v="Loja C"/>
    <x v="5"/>
    <x v="5"/>
    <n v="579"/>
    <n v="2"/>
    <s v="Salvador"/>
    <n v="33"/>
    <s v="Masculino"/>
    <s v="Único"/>
    <n v="4.6947214789588909E-2"/>
  </r>
  <r>
    <d v="2023-12-07T00:00:00"/>
    <s v="Loja A"/>
    <x v="6"/>
    <x v="6"/>
    <n v="359"/>
    <n v="1"/>
    <s v="Fortaleza"/>
    <n v="19"/>
    <s v="Masculino"/>
    <s v="Único"/>
    <n v="2.9108894834995541E-2"/>
  </r>
  <r>
    <d v="2023-12-08T00:00:00"/>
    <s v="Loja B"/>
    <x v="7"/>
    <x v="7"/>
    <n v="899"/>
    <n v="1"/>
    <s v="Recife"/>
    <n v="27"/>
    <s v="Feminino"/>
    <s v="Único"/>
    <n v="7.2887952002594458E-2"/>
  </r>
  <r>
    <d v="2023-12-09T00:00:00"/>
    <s v="Loja C"/>
    <x v="8"/>
    <x v="8"/>
    <n v="779"/>
    <n v="1"/>
    <s v="Manaus"/>
    <n v="36"/>
    <s v="Feminino"/>
    <s v="Único"/>
    <n v="6.3163869293764691E-2"/>
  </r>
  <r>
    <d v="2023-12-10T00:00:00"/>
    <s v="Loja A"/>
    <x v="9"/>
    <x v="9"/>
    <n v="699"/>
    <n v="1"/>
    <s v="Brasília"/>
    <n v="25"/>
    <s v="Masculino"/>
    <s v="Único"/>
    <n v="5.6677207492094379E-2"/>
  </r>
  <r>
    <d v="2023-12-11T00:00:00"/>
    <s v="Loja B"/>
    <x v="0"/>
    <x v="0"/>
    <n v="750"/>
    <n v="1"/>
    <s v="Goiânia"/>
    <n v="20"/>
    <s v="Feminino"/>
    <s v="Único"/>
    <n v="6.0807523917626075E-2"/>
  </r>
  <r>
    <d v="2023-12-12T00:00:00"/>
    <s v="Loja C"/>
    <x v="1"/>
    <x v="1"/>
    <n v="300"/>
    <n v="1"/>
    <s v="Campo Grande"/>
    <n v="34"/>
    <s v="Masculino"/>
    <s v="Único"/>
    <n v="2.4324981756263683E-2"/>
  </r>
  <r>
    <d v="2023-12-13T00:00:00"/>
    <s v="Loja A"/>
    <x v="2"/>
    <x v="2"/>
    <n v="600"/>
    <n v="2"/>
    <s v="Florianópolis"/>
    <n v="29"/>
    <s v="Feminino"/>
    <s v="Único"/>
    <n v="4.8649963512527365E-2"/>
  </r>
  <r>
    <d v="2023-12-14T00:00:00"/>
    <s v="Loja B"/>
    <x v="3"/>
    <x v="3"/>
    <n v="550"/>
    <n v="1"/>
    <s v="São Luís"/>
    <n v="22"/>
    <s v="Masculino"/>
    <s v="Único"/>
    <n v="4.4592184206259121E-2"/>
  </r>
  <r>
    <d v="2023-12-15T00:00:00"/>
    <s v="Loja C"/>
    <x v="4"/>
    <x v="4"/>
    <n v="650"/>
    <n v="1"/>
    <s v="Natal"/>
    <n v="45"/>
    <s v="Feminino"/>
    <s v="Único"/>
    <n v="5.2704127138571311E-2"/>
  </r>
  <r>
    <d v="2023-12-16T00:00:00"/>
    <s v="Loja A"/>
    <x v="5"/>
    <x v="5"/>
    <n v="580"/>
    <n v="1"/>
    <s v="Teresina"/>
    <n v="27"/>
    <s v="Masculino"/>
    <s v="Único"/>
    <n v="4.7028298062109786E-2"/>
  </r>
  <r>
    <d v="2023-12-17T00:00:00"/>
    <s v="Loja B"/>
    <x v="6"/>
    <x v="6"/>
    <n v="360"/>
    <n v="1"/>
    <s v="João Pessoa"/>
    <n v="31"/>
    <s v="Feminino"/>
    <s v="Único"/>
    <n v="2.9187611480460517E-2"/>
  </r>
  <r>
    <d v="2023-12-18T00:00:00"/>
    <s v="Loja C"/>
    <x v="7"/>
    <x v="7"/>
    <n v="900"/>
    <n v="2"/>
    <s v="Aracaju"/>
    <n v="26"/>
    <s v="Masculino"/>
    <s v="Único"/>
    <n v="7.2974945268791044E-2"/>
  </r>
  <r>
    <d v="2023-12-19T00:00:00"/>
    <s v="Loja A"/>
    <x v="8"/>
    <x v="8"/>
    <n v="780"/>
    <n v="1"/>
    <s v="Maceió"/>
    <n v="30"/>
    <s v="Feminino"/>
    <s v="Único"/>
    <n v="6.3244952566285581E-2"/>
  </r>
  <r>
    <d v="2023-12-20T00:00:00"/>
    <s v="Loja B"/>
    <x v="9"/>
    <x v="9"/>
    <n v="700"/>
    <n v="1"/>
    <s v="Palmas"/>
    <n v="35"/>
    <s v="Masculino"/>
    <s v="Único"/>
    <n v="5.6753688989784334E-2"/>
  </r>
  <r>
    <d v="2023-12-21T00:00:00"/>
    <s v="Loja C"/>
    <x v="0"/>
    <x v="0"/>
    <n v="749"/>
    <n v="1"/>
    <s v="Vitória"/>
    <n v="21"/>
    <s v="Feminino"/>
    <s v="Único"/>
    <n v="6.0731371118138325E-2"/>
  </r>
  <r>
    <d v="2023-12-22T00:00:00"/>
    <s v="Loja A"/>
    <x v="1"/>
    <x v="1"/>
    <n v="299"/>
    <n v="2"/>
    <s v="Cuiabá"/>
    <n v="37"/>
    <s v="Masculino"/>
    <s v="Único"/>
    <n v="2.4243898483742803E-2"/>
  </r>
  <r>
    <d v="2023-12-23T00:00:00"/>
    <s v="Loja B"/>
    <x v="2"/>
    <x v="2"/>
    <n v="599"/>
    <n v="1"/>
    <s v="Belém"/>
    <n v="28"/>
    <s v="Feminino"/>
    <s v="Único"/>
    <n v="4.8564942435544024E-2"/>
  </r>
  <r>
    <d v="2023-12-24T00:00:00"/>
    <s v="Loja C"/>
    <x v="3"/>
    <x v="3"/>
    <n v="549"/>
    <n v="1"/>
    <s v="Porto Velho"/>
    <n v="23"/>
    <s v="Masculino"/>
    <s v="Único"/>
    <n v="4.4514716613962536E-2"/>
  </r>
  <r>
    <d v="2023-12-25T00:00:00"/>
    <s v="Loja A"/>
    <x v="4"/>
    <x v="4"/>
    <n v="649"/>
    <n v="1"/>
    <s v="Boa Vista"/>
    <n v="19"/>
    <s v="Feminino"/>
    <s v="Único"/>
    <n v="5.2623043866050434E-2"/>
  </r>
  <r>
    <d v="2023-12-26T00:00:00"/>
    <s v="Loja B"/>
    <x v="5"/>
    <x v="5"/>
    <n v="579"/>
    <n v="1"/>
    <s v="Macapá"/>
    <n v="33"/>
    <s v="Masculino"/>
    <s v="Único"/>
    <n v="4.6943408464407331E-2"/>
  </r>
  <r>
    <d v="2023-12-27T00:00:00"/>
    <s v="Loja C"/>
    <x v="6"/>
    <x v="6"/>
    <n v="359"/>
    <n v="2"/>
    <s v="Rio Branco"/>
    <n v="22"/>
    <s v="Feminino"/>
    <s v="Único"/>
    <n v="2.9108894834995541E-2"/>
  </r>
  <r>
    <d v="2023-12-28T00:00:00"/>
    <s v="Loja A"/>
    <x v="7"/>
    <x v="7"/>
    <n v="899"/>
    <n v="1"/>
    <s v="Porto Alegre"/>
    <n v="27"/>
    <s v="Masculino"/>
    <s v="Único"/>
    <n v="7.2893861996270168E-2"/>
  </r>
  <r>
    <d v="2023-12-29T00:00:00"/>
    <s v="Loja B"/>
    <x v="8"/>
    <x v="8"/>
    <n v="779"/>
    <n v="1"/>
    <s v="São Paulo"/>
    <n v="36"/>
    <s v="Feminino"/>
    <s v="Único"/>
    <n v="6.3158748175774285E-2"/>
  </r>
  <r>
    <d v="2023-12-30T00:00:00"/>
    <s v="Loja C"/>
    <x v="9"/>
    <x v="9"/>
    <n v="699"/>
    <n v="1"/>
    <s v="Salvador"/>
    <n v="25"/>
    <s v="Masculino"/>
    <s v="Único"/>
    <n v="5.6677207492094379E-2"/>
  </r>
  <r>
    <d v="2024-01-01T00:00:00"/>
    <s v="Loja A"/>
    <x v="0"/>
    <x v="0"/>
    <n v="750"/>
    <n v="1"/>
    <s v="Rio de Janeiro"/>
    <n v="29"/>
    <s v="Feminino"/>
    <s v="Único"/>
    <n v="6.0812454390659208E-2"/>
  </r>
  <r>
    <d v="2024-01-02T00:00:00"/>
    <s v="Loja B"/>
    <x v="1"/>
    <x v="1"/>
    <n v="300"/>
    <n v="1"/>
    <s v="Curitiba"/>
    <n v="32"/>
    <s v="Masculino"/>
    <s v="Único"/>
    <n v="2.4323009567050431E-2"/>
  </r>
  <r>
    <d v="2024-01-03T00:00:00"/>
    <s v="Loja C"/>
    <x v="2"/>
    <x v="2"/>
    <n v="600"/>
    <n v="2"/>
    <s v="Belo Horizonte"/>
    <n v="21"/>
    <s v="Feminino"/>
    <s v="Único"/>
    <n v="4.8649963512527365E-2"/>
  </r>
  <r>
    <d v="2024-01-04T00:00:00"/>
    <s v="Loja A"/>
    <x v="3"/>
    <x v="3"/>
    <n v="550"/>
    <n v="1"/>
    <s v="Fortaleza"/>
    <n v="34"/>
    <s v="Masculino"/>
    <s v="Único"/>
    <n v="4.459579988648342E-2"/>
  </r>
  <r>
    <d v="2024-01-05T00:00:00"/>
    <s v="Loja B"/>
    <x v="4"/>
    <x v="4"/>
    <n v="650"/>
    <n v="1"/>
    <s v="Manaus"/>
    <n v="28"/>
    <s v="Feminino"/>
    <s v="Único"/>
    <n v="5.2699854061942594E-2"/>
  </r>
  <r>
    <d v="2024-01-06T00:00:00"/>
    <s v="Loja C"/>
    <x v="5"/>
    <x v="5"/>
    <n v="580"/>
    <n v="1"/>
    <s v="Brasília"/>
    <n v="30"/>
    <s v="Masculino"/>
    <s v="Único"/>
    <n v="4.7028298062109786E-2"/>
  </r>
  <r>
    <d v="2024-01-07T00:00:00"/>
    <s v="Loja A"/>
    <x v="6"/>
    <x v="6"/>
    <n v="360"/>
    <n v="1"/>
    <s v="Recife"/>
    <n v="24"/>
    <s v="Feminino"/>
    <s v="Único"/>
    <n v="2.9189978107516418E-2"/>
  </r>
  <r>
    <d v="2024-01-08T00:00:00"/>
    <s v="Loja B"/>
    <x v="7"/>
    <x v="7"/>
    <n v="900"/>
    <n v="2"/>
    <s v="Porto Alegre"/>
    <n v="23"/>
    <s v="Masculino"/>
    <s v="Único"/>
    <n v="7.2969028701151295E-2"/>
  </r>
  <r>
    <d v="2024-01-09T00:00:00"/>
    <s v="Loja C"/>
    <x v="8"/>
    <x v="8"/>
    <n v="780"/>
    <n v="1"/>
    <s v="Goiânia"/>
    <n v="27"/>
    <s v="Feminino"/>
    <s v="Único"/>
    <n v="6.3244952566285581E-2"/>
  </r>
  <r>
    <d v="2024-01-10T00:00:00"/>
    <s v="Loja A"/>
    <x v="9"/>
    <x v="9"/>
    <n v="700"/>
    <n v="1"/>
    <s v="São Luís"/>
    <n v="35"/>
    <s v="Masculino"/>
    <s v="Único"/>
    <n v="5.6758290764615263E-2"/>
  </r>
  <r>
    <d v="2024-01-11T00:00:00"/>
    <s v="Loja B"/>
    <x v="0"/>
    <x v="0"/>
    <n v="750"/>
    <n v="1"/>
    <s v="Belém"/>
    <n v="22"/>
    <s v="Feminino"/>
    <s v="Único"/>
    <n v="6.0807523917626075E-2"/>
  </r>
  <r>
    <d v="2024-01-12T00:00:00"/>
    <s v="Loja C"/>
    <x v="1"/>
    <x v="1"/>
    <n v="300"/>
    <n v="1"/>
    <s v="Maceió"/>
    <n v="35"/>
    <s v="Masculino"/>
    <s v="Único"/>
    <n v="2.4324981756263683E-2"/>
  </r>
  <r>
    <d v="2024-01-13T00:00:00"/>
    <s v="Loja A"/>
    <x v="2"/>
    <x v="2"/>
    <n v="600"/>
    <n v="1"/>
    <s v="Porto Alegre"/>
    <n v="29"/>
    <s v="Feminino"/>
    <s v="Único"/>
    <n v="4.8649963512527365E-2"/>
  </r>
  <r>
    <d v="2024-01-14T00:00:00"/>
    <s v="Loja B"/>
    <x v="3"/>
    <x v="3"/>
    <n v="550"/>
    <n v="1"/>
    <s v="São Paulo"/>
    <n v="24"/>
    <s v="Masculino"/>
    <s v="Único"/>
    <n v="4.4592184206259121E-2"/>
  </r>
  <r>
    <d v="2024-01-15T00:00:00"/>
    <s v="Loja C"/>
    <x v="4"/>
    <x v="4"/>
    <n v="650"/>
    <n v="1"/>
    <s v="Rio de Janeiro"/>
    <n v="42"/>
    <s v="Feminino"/>
    <s v="Único"/>
    <n v="5.2704127138571311E-2"/>
  </r>
  <r>
    <d v="2024-01-16T00:00:00"/>
    <s v="Loja A"/>
    <x v="5"/>
    <x v="5"/>
    <n v="580"/>
    <n v="1"/>
    <s v="Curitiba"/>
    <n v="27"/>
    <s v="Masculino"/>
    <s v="Único"/>
    <n v="4.7028298062109786E-2"/>
  </r>
  <r>
    <d v="2024-01-17T00:00:00"/>
    <s v="Loja B"/>
    <x v="6"/>
    <x v="6"/>
    <n v="360"/>
    <n v="1"/>
    <s v="Salvador"/>
    <n v="30"/>
    <s v="Feminino"/>
    <s v="Único"/>
    <n v="2.9187611480460517E-2"/>
  </r>
  <r>
    <d v="2024-01-18T00:00:00"/>
    <s v="Loja C"/>
    <x v="7"/>
    <x v="7"/>
    <n v="900"/>
    <n v="1"/>
    <s v="Fortaleza"/>
    <n v="23"/>
    <s v="Masculino"/>
    <s v="Único"/>
    <n v="7.2974945268791044E-2"/>
  </r>
  <r>
    <d v="2024-01-19T00:00:00"/>
    <s v="Loja A"/>
    <x v="8"/>
    <x v="8"/>
    <n v="780"/>
    <n v="1"/>
    <s v="Brasília"/>
    <n v="31"/>
    <s v="Feminino"/>
    <s v="Único"/>
    <n v="6.3244952566285581E-2"/>
  </r>
  <r>
    <d v="2024-01-20T00:00:00"/>
    <s v="Loja B"/>
    <x v="9"/>
    <x v="9"/>
    <n v="700"/>
    <n v="1"/>
    <s v="Recife"/>
    <n v="28"/>
    <s v="Masculino"/>
    <s v="Único"/>
    <n v="5.6753688989784334E-2"/>
  </r>
  <r>
    <d v="2024-01-21T00:00:00"/>
    <s v="Loja C"/>
    <x v="0"/>
    <x v="0"/>
    <n v="750"/>
    <n v="1"/>
    <s v="Vitória"/>
    <n v="21"/>
    <s v="Feminino"/>
    <s v="Único"/>
    <n v="6.0812454390659208E-2"/>
  </r>
  <r>
    <d v="2024-01-22T00:00:00"/>
    <s v="Loja A"/>
    <x v="1"/>
    <x v="1"/>
    <n v="300"/>
    <n v="1"/>
    <s v="Cuiabá"/>
    <n v="33"/>
    <s v="Masculino"/>
    <s v="Único"/>
    <n v="2.4324981756263683E-2"/>
  </r>
  <r>
    <d v="2024-01-23T00:00:00"/>
    <s v="Loja B"/>
    <x v="2"/>
    <x v="2"/>
    <n v="600"/>
    <n v="1"/>
    <s v="Florianópolis"/>
    <n v="26"/>
    <s v="Feminino"/>
    <s v="Único"/>
    <n v="4.8646019134100861E-2"/>
  </r>
  <r>
    <d v="2024-01-24T00:00:00"/>
    <s v="Loja C"/>
    <x v="3"/>
    <x v="3"/>
    <n v="550"/>
    <n v="1"/>
    <s v="Campo Grande"/>
    <n v="19"/>
    <s v="Masculino"/>
    <s v="Único"/>
    <n v="4.459579988648342E-2"/>
  </r>
  <r>
    <d v="2024-01-25T00:00:00"/>
    <s v="Loja A"/>
    <x v="4"/>
    <x v="4"/>
    <n v="650"/>
    <n v="1"/>
    <s v="Manaus"/>
    <n v="34"/>
    <s v="Feminino"/>
    <s v="Único"/>
    <n v="5.2704127138571311E-2"/>
  </r>
  <r>
    <d v="2024-01-26T00:00:00"/>
    <s v="Loja B"/>
    <x v="5"/>
    <x v="5"/>
    <n v="580"/>
    <n v="1"/>
    <s v="São Luís"/>
    <n v="37"/>
    <s v="Masculino"/>
    <s v="Único"/>
    <n v="4.7024485162964161E-2"/>
  </r>
  <r>
    <d v="2024-01-27T00:00:00"/>
    <s v="Loja C"/>
    <x v="6"/>
    <x v="6"/>
    <n v="360"/>
    <n v="1"/>
    <s v="Teresina"/>
    <n v="29"/>
    <s v="Feminino"/>
    <s v="Único"/>
    <n v="2.9189978107516418E-2"/>
  </r>
  <r>
    <d v="2024-01-28T00:00:00"/>
    <s v="Loja A"/>
    <x v="7"/>
    <x v="7"/>
    <n v="900"/>
    <n v="1"/>
    <s v="Belo Horizonte"/>
    <n v="25"/>
    <s v="Masculino"/>
    <s v="Único"/>
    <n v="7.2974945268791044E-2"/>
  </r>
  <r>
    <d v="2024-01-29T00:00:00"/>
    <s v="Loja B"/>
    <x v="8"/>
    <x v="8"/>
    <n v="780"/>
    <n v="1"/>
    <s v="Goiânia"/>
    <n v="32"/>
    <s v="Feminino"/>
    <s v="Único"/>
    <n v="6.3239824874331121E-2"/>
  </r>
  <r>
    <d v="2024-01-30T00:00:00"/>
    <s v="Loja C"/>
    <x v="9"/>
    <x v="9"/>
    <n v="700"/>
    <n v="1"/>
    <s v="Porto Velho"/>
    <n v="24"/>
    <s v="Masculino"/>
    <s v="Único"/>
    <n v="5.6758290764615263E-2"/>
  </r>
  <r>
    <m/>
    <m/>
    <x v="10"/>
    <x v="10"/>
    <m/>
    <m/>
    <m/>
    <m/>
    <m/>
    <m/>
    <m/>
  </r>
  <r>
    <m/>
    <m/>
    <x v="10"/>
    <x v="10"/>
    <m/>
    <m/>
    <m/>
    <m/>
    <m/>
    <m/>
    <m/>
  </r>
  <r>
    <m/>
    <m/>
    <x v="10"/>
    <x v="10"/>
    <m/>
    <m/>
    <m/>
    <m/>
    <m/>
    <m/>
    <m/>
  </r>
  <r>
    <m/>
    <m/>
    <x v="10"/>
    <x v="10"/>
    <m/>
    <m/>
    <m/>
    <m/>
    <m/>
    <m/>
    <m/>
  </r>
  <r>
    <m/>
    <m/>
    <x v="10"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66923-2BD6-4FB3-A433-AE30ADB35BE4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8:C20" firstHeaderRow="1" firstDataRow="1" firstDataCol="1" rowPageCount="1" colPageCount="1"/>
  <pivotFields count="11">
    <pivotField showAll="0"/>
    <pivotField showAll="0"/>
    <pivotField axis="axisRow" showAll="0">
      <items count="12">
        <item x="3"/>
        <item x="4"/>
        <item x="0"/>
        <item x="7"/>
        <item x="2"/>
        <item x="5"/>
        <item x="8"/>
        <item x="9"/>
        <item x="1"/>
        <item x="6"/>
        <item x="10"/>
        <item t="default"/>
      </items>
    </pivotField>
    <pivotField axis="axisPage" showAll="0">
      <items count="12">
        <item x="3"/>
        <item x="4"/>
        <item x="0"/>
        <item x="7"/>
        <item x="2"/>
        <item x="5"/>
        <item x="8"/>
        <item x="9"/>
        <item x="1"/>
        <item x="6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3" hier="-1"/>
  </pageFields>
  <dataFields count="1">
    <dataField name="Soma de Quantidade Vendida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elo_de_Tênis" xr10:uid="{3DA3D909-E144-4C2D-8A8C-4BE0A4F28271}" sourceName="Modelo de Tênis">
  <pivotTables>
    <pivotTable tabId="3" name="Tabela dinâmica1"/>
  </pivotTables>
  <data>
    <tabular pivotCacheId="1603335642">
      <items count="11">
        <i x="3" s="1"/>
        <i x="4" s="1"/>
        <i x="0" s="1"/>
        <i x="7" s="1"/>
        <i x="2" s="1"/>
        <i x="5" s="1"/>
        <i x="8" s="1"/>
        <i x="9" s="1"/>
        <i x="1" s="1"/>
        <i x="6" s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 de Tênis" xr10:uid="{6D558A3D-F11E-4E51-9C36-73C1E9F2F72F}" cache="SegmentaçãodeDados_Modelo_de_Tênis" caption="Modelo de Tênis" style="SlicerStyleOther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 de Tênis 1" xr10:uid="{08E80CE2-38A9-4980-A910-A1D9FBAEC061}" cache="SegmentaçãodeDados_Modelo_de_Tênis" caption="Modelo de Tênis" style="SlicerStyleOther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6C85-5562-436E-9EA1-EC5A10DB0AA8}">
  <dimension ref="A1"/>
  <sheetViews>
    <sheetView showGridLines="0" workbookViewId="0"/>
  </sheetViews>
  <sheetFormatPr defaultRowHeight="15" x14ac:dyDescent="0.25"/>
  <cols>
    <col min="1" max="1" width="13.85546875" bestFit="1" customWidth="1"/>
  </cols>
  <sheetData/>
  <pageMargins left="0.511811024" right="0.511811024" top="0.78740157499999996" bottom="0.78740157499999996" header="0.31496062000000002" footer="0.31496062000000002"/>
  <headerFooter>
    <oddFooter>&amp;L_x000D_&amp;1#&amp;"Aptos"&amp;8&amp;K000000 Classified as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93A4-CA7B-4353-A7D5-0379CD6DBAC3}">
  <dimension ref="A1:K65"/>
  <sheetViews>
    <sheetView workbookViewId="0">
      <selection sqref="A1:XFD1"/>
    </sheetView>
  </sheetViews>
  <sheetFormatPr defaultRowHeight="15" x14ac:dyDescent="0.25"/>
  <cols>
    <col min="1" max="3" width="20.140625" customWidth="1"/>
    <col min="4" max="4" width="16.85546875" bestFit="1" customWidth="1"/>
    <col min="5" max="5" width="19.28515625" bestFit="1" customWidth="1"/>
    <col min="6" max="8" width="20.140625" customWidth="1"/>
    <col min="9" max="9" width="12.28515625" customWidth="1"/>
    <col min="10" max="10" width="13.140625" customWidth="1"/>
    <col min="11" max="11" width="12.140625" customWidth="1"/>
  </cols>
  <sheetData>
    <row r="1" spans="1:11" s="10" customFormat="1" ht="45" x14ac:dyDescent="0.25">
      <c r="A1" s="9" t="s">
        <v>0</v>
      </c>
      <c r="B1" s="9" t="s">
        <v>1</v>
      </c>
      <c r="C1" s="9" t="s">
        <v>2</v>
      </c>
      <c r="D1" s="9" t="s">
        <v>51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50</v>
      </c>
      <c r="K1" s="9" t="s">
        <v>52</v>
      </c>
    </row>
    <row r="2" spans="1:11" s="3" customFormat="1" ht="15" customHeight="1" x14ac:dyDescent="0.25">
      <c r="A2" s="2">
        <v>45261</v>
      </c>
      <c r="B2" s="1" t="s">
        <v>8</v>
      </c>
      <c r="C2" s="1" t="s">
        <v>9</v>
      </c>
      <c r="D2" s="1" t="str">
        <f>_xlfn.TEXTAFTER($C2,"Nike ")</f>
        <v>Air Max 97</v>
      </c>
      <c r="E2" s="4">
        <v>749</v>
      </c>
      <c r="F2" s="1">
        <v>1</v>
      </c>
      <c r="G2" s="1" t="s">
        <v>10</v>
      </c>
      <c r="H2" s="1">
        <v>24</v>
      </c>
      <c r="I2" s="1" t="s">
        <v>11</v>
      </c>
      <c r="J2" s="3" t="str">
        <f t="shared" ref="J2:J33" si="0">IF(COUNTIFS(B$2:B$65, B2, C$2:C$65, C2, D$2:D$65, E2, E$2:E$65, F2, F$2:F$65, G2, G$2:G$65, H2, H$2:H$65, I2) &gt; 1, "Duplicado", "Único")</f>
        <v>Único</v>
      </c>
      <c r="K2" s="5">
        <f>$E2/SUMIFS($E$2:$E$61, $B$2:$B$61, $B2)</f>
        <v>6.0731371118138325E-2</v>
      </c>
    </row>
    <row r="3" spans="1:11" s="3" customFormat="1" ht="15" customHeight="1" x14ac:dyDescent="0.25">
      <c r="A3" s="2">
        <v>45262</v>
      </c>
      <c r="B3" s="1" t="s">
        <v>12</v>
      </c>
      <c r="C3" s="1" t="s">
        <v>13</v>
      </c>
      <c r="D3" s="1" t="str">
        <f t="shared" ref="D3:D61" si="1">_xlfn.TEXTAFTER($C3,"Nike ")</f>
        <v>Revolution 5</v>
      </c>
      <c r="E3" s="4">
        <v>299</v>
      </c>
      <c r="F3" s="1">
        <v>2</v>
      </c>
      <c r="G3" s="1" t="s">
        <v>14</v>
      </c>
      <c r="H3" s="1">
        <v>30</v>
      </c>
      <c r="I3" s="1" t="s">
        <v>15</v>
      </c>
      <c r="J3" s="3" t="str">
        <f t="shared" si="0"/>
        <v>Único</v>
      </c>
      <c r="K3" s="5">
        <f t="shared" ref="K3:K61" si="2">$E3/SUMIFS($E$2:$E$61, $B$2:$B$61, $B3)</f>
        <v>2.4241932868493594E-2</v>
      </c>
    </row>
    <row r="4" spans="1:11" s="3" customFormat="1" ht="15" customHeight="1" x14ac:dyDescent="0.25">
      <c r="A4" s="2">
        <v>45263</v>
      </c>
      <c r="B4" s="1" t="s">
        <v>16</v>
      </c>
      <c r="C4" s="1" t="s">
        <v>17</v>
      </c>
      <c r="D4" s="1" t="str">
        <f t="shared" si="1"/>
        <v>Air Zoom Pegasus</v>
      </c>
      <c r="E4" s="4">
        <v>599</v>
      </c>
      <c r="F4" s="1">
        <v>1</v>
      </c>
      <c r="G4" s="1" t="s">
        <v>18</v>
      </c>
      <c r="H4" s="1">
        <v>35</v>
      </c>
      <c r="I4" s="1" t="s">
        <v>11</v>
      </c>
      <c r="J4" s="3" t="str">
        <f t="shared" si="0"/>
        <v>Único</v>
      </c>
      <c r="K4" s="5">
        <f t="shared" si="2"/>
        <v>4.8568880240006489E-2</v>
      </c>
    </row>
    <row r="5" spans="1:11" s="3" customFormat="1" ht="15" customHeight="1" x14ac:dyDescent="0.25">
      <c r="A5" s="2">
        <v>45264</v>
      </c>
      <c r="B5" s="1" t="s">
        <v>8</v>
      </c>
      <c r="C5" s="1" t="s">
        <v>19</v>
      </c>
      <c r="D5" s="1" t="str">
        <f t="shared" si="1"/>
        <v>Air Force 1</v>
      </c>
      <c r="E5" s="4">
        <v>549</v>
      </c>
      <c r="F5" s="1">
        <v>1</v>
      </c>
      <c r="G5" s="1" t="s">
        <v>20</v>
      </c>
      <c r="H5" s="1">
        <v>22</v>
      </c>
      <c r="I5" s="1" t="s">
        <v>15</v>
      </c>
      <c r="J5" s="3" t="str">
        <f t="shared" si="0"/>
        <v>Único</v>
      </c>
      <c r="K5" s="5">
        <f t="shared" si="2"/>
        <v>4.4514716613962536E-2</v>
      </c>
    </row>
    <row r="6" spans="1:11" s="3" customFormat="1" ht="15" customHeight="1" x14ac:dyDescent="0.25">
      <c r="A6" s="2">
        <v>45265</v>
      </c>
      <c r="B6" s="1" t="s">
        <v>12</v>
      </c>
      <c r="C6" s="1" t="s">
        <v>21</v>
      </c>
      <c r="D6" s="1" t="str">
        <f t="shared" si="1"/>
        <v>Air Max 270</v>
      </c>
      <c r="E6" s="4">
        <v>649</v>
      </c>
      <c r="F6" s="1">
        <v>1</v>
      </c>
      <c r="G6" s="1" t="s">
        <v>22</v>
      </c>
      <c r="H6" s="1">
        <v>28</v>
      </c>
      <c r="I6" s="1" t="s">
        <v>15</v>
      </c>
      <c r="J6" s="3" t="str">
        <f t="shared" si="0"/>
        <v>Único</v>
      </c>
      <c r="K6" s="5">
        <f t="shared" si="2"/>
        <v>5.2618777363385764E-2</v>
      </c>
    </row>
    <row r="7" spans="1:11" s="3" customFormat="1" ht="15" customHeight="1" x14ac:dyDescent="0.25">
      <c r="A7" s="2">
        <v>45266</v>
      </c>
      <c r="B7" s="1" t="s">
        <v>16</v>
      </c>
      <c r="C7" s="1" t="s">
        <v>23</v>
      </c>
      <c r="D7" s="1" t="str">
        <f t="shared" si="1"/>
        <v>Dunk Low</v>
      </c>
      <c r="E7" s="4">
        <v>579</v>
      </c>
      <c r="F7" s="1">
        <v>2</v>
      </c>
      <c r="G7" s="1" t="s">
        <v>24</v>
      </c>
      <c r="H7" s="1">
        <v>33</v>
      </c>
      <c r="I7" s="1" t="s">
        <v>11</v>
      </c>
      <c r="J7" s="3" t="str">
        <f t="shared" si="0"/>
        <v>Único</v>
      </c>
      <c r="K7" s="5">
        <f t="shared" si="2"/>
        <v>4.6947214789588909E-2</v>
      </c>
    </row>
    <row r="8" spans="1:11" s="3" customFormat="1" ht="15" customHeight="1" x14ac:dyDescent="0.25">
      <c r="A8" s="2">
        <v>45267</v>
      </c>
      <c r="B8" s="1" t="s">
        <v>8</v>
      </c>
      <c r="C8" s="1" t="s">
        <v>25</v>
      </c>
      <c r="D8" s="1" t="str">
        <f t="shared" si="1"/>
        <v>SB Chron 2</v>
      </c>
      <c r="E8" s="4">
        <v>359</v>
      </c>
      <c r="F8" s="1">
        <v>1</v>
      </c>
      <c r="G8" s="1" t="s">
        <v>26</v>
      </c>
      <c r="H8" s="1">
        <v>19</v>
      </c>
      <c r="I8" s="1" t="s">
        <v>11</v>
      </c>
      <c r="J8" s="3" t="str">
        <f t="shared" si="0"/>
        <v>Único</v>
      </c>
      <c r="K8" s="5">
        <f t="shared" si="2"/>
        <v>2.9108894834995541E-2</v>
      </c>
    </row>
    <row r="9" spans="1:11" s="3" customFormat="1" ht="15" customHeight="1" x14ac:dyDescent="0.25">
      <c r="A9" s="2">
        <v>45268</v>
      </c>
      <c r="B9" s="1" t="s">
        <v>12</v>
      </c>
      <c r="C9" s="1" t="s">
        <v>27</v>
      </c>
      <c r="D9" s="1" t="str">
        <f t="shared" si="1"/>
        <v>Air VaporMax</v>
      </c>
      <c r="E9" s="4">
        <v>899</v>
      </c>
      <c r="F9" s="1">
        <v>1</v>
      </c>
      <c r="G9" s="1" t="s">
        <v>28</v>
      </c>
      <c r="H9" s="1">
        <v>27</v>
      </c>
      <c r="I9" s="1" t="s">
        <v>15</v>
      </c>
      <c r="J9" s="3" t="str">
        <f t="shared" si="0"/>
        <v>Único</v>
      </c>
      <c r="K9" s="5">
        <f t="shared" si="2"/>
        <v>7.2887952002594458E-2</v>
      </c>
    </row>
    <row r="10" spans="1:11" s="3" customFormat="1" ht="15" customHeight="1" x14ac:dyDescent="0.25">
      <c r="A10" s="2">
        <v>45269</v>
      </c>
      <c r="B10" s="1" t="s">
        <v>16</v>
      </c>
      <c r="C10" s="1" t="s">
        <v>29</v>
      </c>
      <c r="D10" s="1" t="str">
        <f t="shared" si="1"/>
        <v>Joyride</v>
      </c>
      <c r="E10" s="4">
        <v>779</v>
      </c>
      <c r="F10" s="1">
        <v>1</v>
      </c>
      <c r="G10" s="1" t="s">
        <v>30</v>
      </c>
      <c r="H10" s="1">
        <v>36</v>
      </c>
      <c r="I10" s="1" t="s">
        <v>15</v>
      </c>
      <c r="J10" s="3" t="str">
        <f t="shared" si="0"/>
        <v>Único</v>
      </c>
      <c r="K10" s="5">
        <f t="shared" si="2"/>
        <v>6.3163869293764691E-2</v>
      </c>
    </row>
    <row r="11" spans="1:11" s="3" customFormat="1" ht="15" customHeight="1" x14ac:dyDescent="0.25">
      <c r="A11" s="2">
        <v>45270</v>
      </c>
      <c r="B11" s="1" t="s">
        <v>8</v>
      </c>
      <c r="C11" s="1" t="s">
        <v>31</v>
      </c>
      <c r="D11" s="1" t="str">
        <f t="shared" si="1"/>
        <v>Metcon 6</v>
      </c>
      <c r="E11" s="4">
        <v>699</v>
      </c>
      <c r="F11" s="1">
        <v>1</v>
      </c>
      <c r="G11" s="1" t="s">
        <v>32</v>
      </c>
      <c r="H11" s="1">
        <v>25</v>
      </c>
      <c r="I11" s="1" t="s">
        <v>11</v>
      </c>
      <c r="J11" s="3" t="str">
        <f t="shared" si="0"/>
        <v>Único</v>
      </c>
      <c r="K11" s="5">
        <f t="shared" si="2"/>
        <v>5.6677207492094379E-2</v>
      </c>
    </row>
    <row r="12" spans="1:11" s="3" customFormat="1" ht="15" customHeight="1" x14ac:dyDescent="0.25">
      <c r="A12" s="2">
        <v>45271</v>
      </c>
      <c r="B12" s="1" t="s">
        <v>12</v>
      </c>
      <c r="C12" s="1" t="s">
        <v>9</v>
      </c>
      <c r="D12" s="1" t="str">
        <f t="shared" si="1"/>
        <v>Air Max 97</v>
      </c>
      <c r="E12" s="4">
        <v>750</v>
      </c>
      <c r="F12" s="1">
        <v>1</v>
      </c>
      <c r="G12" s="1" t="s">
        <v>33</v>
      </c>
      <c r="H12" s="1">
        <v>20</v>
      </c>
      <c r="I12" s="1" t="s">
        <v>15</v>
      </c>
      <c r="J12" s="3" t="str">
        <f t="shared" si="0"/>
        <v>Único</v>
      </c>
      <c r="K12" s="5">
        <f t="shared" si="2"/>
        <v>6.0807523917626075E-2</v>
      </c>
    </row>
    <row r="13" spans="1:11" s="3" customFormat="1" ht="15" customHeight="1" x14ac:dyDescent="0.25">
      <c r="A13" s="2">
        <v>45272</v>
      </c>
      <c r="B13" s="1" t="s">
        <v>16</v>
      </c>
      <c r="C13" s="1" t="s">
        <v>13</v>
      </c>
      <c r="D13" s="1" t="str">
        <f t="shared" si="1"/>
        <v>Revolution 5</v>
      </c>
      <c r="E13" s="4">
        <v>300</v>
      </c>
      <c r="F13" s="1">
        <v>1</v>
      </c>
      <c r="G13" s="1" t="s">
        <v>34</v>
      </c>
      <c r="H13" s="1">
        <v>34</v>
      </c>
      <c r="I13" s="1" t="s">
        <v>11</v>
      </c>
      <c r="J13" s="3" t="str">
        <f t="shared" si="0"/>
        <v>Único</v>
      </c>
      <c r="K13" s="5">
        <f t="shared" si="2"/>
        <v>2.4324981756263683E-2</v>
      </c>
    </row>
    <row r="14" spans="1:11" s="3" customFormat="1" ht="15" customHeight="1" x14ac:dyDescent="0.25">
      <c r="A14" s="2">
        <v>45273</v>
      </c>
      <c r="B14" s="1" t="s">
        <v>8</v>
      </c>
      <c r="C14" s="1" t="s">
        <v>17</v>
      </c>
      <c r="D14" s="1" t="str">
        <f t="shared" si="1"/>
        <v>Air Zoom Pegasus</v>
      </c>
      <c r="E14" s="4">
        <v>600</v>
      </c>
      <c r="F14" s="1">
        <v>2</v>
      </c>
      <c r="G14" s="1" t="s">
        <v>35</v>
      </c>
      <c r="H14" s="1">
        <v>29</v>
      </c>
      <c r="I14" s="1" t="s">
        <v>15</v>
      </c>
      <c r="J14" s="3" t="str">
        <f t="shared" si="0"/>
        <v>Único</v>
      </c>
      <c r="K14" s="5">
        <f t="shared" si="2"/>
        <v>4.8649963512527365E-2</v>
      </c>
    </row>
    <row r="15" spans="1:11" s="3" customFormat="1" ht="15" customHeight="1" x14ac:dyDescent="0.25">
      <c r="A15" s="2">
        <v>45274</v>
      </c>
      <c r="B15" s="1" t="s">
        <v>12</v>
      </c>
      <c r="C15" s="1" t="s">
        <v>19</v>
      </c>
      <c r="D15" s="1" t="str">
        <f t="shared" si="1"/>
        <v>Air Force 1</v>
      </c>
      <c r="E15" s="4">
        <v>550</v>
      </c>
      <c r="F15" s="1">
        <v>1</v>
      </c>
      <c r="G15" s="1" t="s">
        <v>36</v>
      </c>
      <c r="H15" s="1">
        <v>22</v>
      </c>
      <c r="I15" s="1" t="s">
        <v>11</v>
      </c>
      <c r="J15" s="3" t="str">
        <f t="shared" si="0"/>
        <v>Único</v>
      </c>
      <c r="K15" s="5">
        <f t="shared" si="2"/>
        <v>4.4592184206259121E-2</v>
      </c>
    </row>
    <row r="16" spans="1:11" s="3" customFormat="1" ht="15" customHeight="1" x14ac:dyDescent="0.25">
      <c r="A16" s="2">
        <v>45275</v>
      </c>
      <c r="B16" s="1" t="s">
        <v>16</v>
      </c>
      <c r="C16" s="1" t="s">
        <v>21</v>
      </c>
      <c r="D16" s="1" t="str">
        <f t="shared" si="1"/>
        <v>Air Max 270</v>
      </c>
      <c r="E16" s="4">
        <v>650</v>
      </c>
      <c r="F16" s="1">
        <v>1</v>
      </c>
      <c r="G16" s="1" t="s">
        <v>37</v>
      </c>
      <c r="H16" s="1">
        <v>45</v>
      </c>
      <c r="I16" s="1" t="s">
        <v>15</v>
      </c>
      <c r="J16" s="3" t="str">
        <f t="shared" si="0"/>
        <v>Único</v>
      </c>
      <c r="K16" s="5">
        <f t="shared" si="2"/>
        <v>5.2704127138571311E-2</v>
      </c>
    </row>
    <row r="17" spans="1:11" s="3" customFormat="1" ht="15" customHeight="1" x14ac:dyDescent="0.25">
      <c r="A17" s="2">
        <v>45276</v>
      </c>
      <c r="B17" s="1" t="s">
        <v>8</v>
      </c>
      <c r="C17" s="1" t="s">
        <v>23</v>
      </c>
      <c r="D17" s="1" t="str">
        <f t="shared" si="1"/>
        <v>Dunk Low</v>
      </c>
      <c r="E17" s="4">
        <v>580</v>
      </c>
      <c r="F17" s="1">
        <v>1</v>
      </c>
      <c r="G17" s="1" t="s">
        <v>38</v>
      </c>
      <c r="H17" s="1">
        <v>27</v>
      </c>
      <c r="I17" s="1" t="s">
        <v>11</v>
      </c>
      <c r="J17" s="3" t="str">
        <f t="shared" si="0"/>
        <v>Único</v>
      </c>
      <c r="K17" s="5">
        <f t="shared" si="2"/>
        <v>4.7028298062109786E-2</v>
      </c>
    </row>
    <row r="18" spans="1:11" s="3" customFormat="1" ht="15" customHeight="1" x14ac:dyDescent="0.25">
      <c r="A18" s="2">
        <v>45277</v>
      </c>
      <c r="B18" s="1" t="s">
        <v>12</v>
      </c>
      <c r="C18" s="1" t="s">
        <v>25</v>
      </c>
      <c r="D18" s="1" t="str">
        <f t="shared" si="1"/>
        <v>SB Chron 2</v>
      </c>
      <c r="E18" s="4">
        <v>360</v>
      </c>
      <c r="F18" s="1">
        <v>1</v>
      </c>
      <c r="G18" s="1" t="s">
        <v>39</v>
      </c>
      <c r="H18" s="1">
        <v>31</v>
      </c>
      <c r="I18" s="1" t="s">
        <v>15</v>
      </c>
      <c r="J18" s="3" t="str">
        <f t="shared" si="0"/>
        <v>Único</v>
      </c>
      <c r="K18" s="5">
        <f t="shared" si="2"/>
        <v>2.9187611480460517E-2</v>
      </c>
    </row>
    <row r="19" spans="1:11" s="3" customFormat="1" ht="15" customHeight="1" x14ac:dyDescent="0.25">
      <c r="A19" s="2">
        <v>45278</v>
      </c>
      <c r="B19" s="1" t="s">
        <v>16</v>
      </c>
      <c r="C19" s="1" t="s">
        <v>27</v>
      </c>
      <c r="D19" s="1" t="str">
        <f t="shared" si="1"/>
        <v>Air VaporMax</v>
      </c>
      <c r="E19" s="4">
        <v>900</v>
      </c>
      <c r="F19" s="1">
        <v>2</v>
      </c>
      <c r="G19" s="1" t="s">
        <v>40</v>
      </c>
      <c r="H19" s="1">
        <v>26</v>
      </c>
      <c r="I19" s="1" t="s">
        <v>11</v>
      </c>
      <c r="J19" s="3" t="str">
        <f t="shared" si="0"/>
        <v>Único</v>
      </c>
      <c r="K19" s="5">
        <f t="shared" si="2"/>
        <v>7.2974945268791044E-2</v>
      </c>
    </row>
    <row r="20" spans="1:11" s="3" customFormat="1" ht="15" customHeight="1" x14ac:dyDescent="0.25">
      <c r="A20" s="2">
        <v>45279</v>
      </c>
      <c r="B20" s="1" t="s">
        <v>8</v>
      </c>
      <c r="C20" s="1" t="s">
        <v>29</v>
      </c>
      <c r="D20" s="1" t="str">
        <f t="shared" si="1"/>
        <v>Joyride</v>
      </c>
      <c r="E20" s="4">
        <v>780</v>
      </c>
      <c r="F20" s="1">
        <v>1</v>
      </c>
      <c r="G20" s="1" t="s">
        <v>41</v>
      </c>
      <c r="H20" s="1">
        <v>30</v>
      </c>
      <c r="I20" s="1" t="s">
        <v>15</v>
      </c>
      <c r="J20" s="3" t="str">
        <f t="shared" si="0"/>
        <v>Único</v>
      </c>
      <c r="K20" s="5">
        <f t="shared" si="2"/>
        <v>6.3244952566285581E-2</v>
      </c>
    </row>
    <row r="21" spans="1:11" s="3" customFormat="1" ht="15" customHeight="1" x14ac:dyDescent="0.25">
      <c r="A21" s="2">
        <v>45280</v>
      </c>
      <c r="B21" s="1" t="s">
        <v>12</v>
      </c>
      <c r="C21" s="1" t="s">
        <v>31</v>
      </c>
      <c r="D21" s="1" t="str">
        <f t="shared" si="1"/>
        <v>Metcon 6</v>
      </c>
      <c r="E21" s="4">
        <v>700</v>
      </c>
      <c r="F21" s="1">
        <v>1</v>
      </c>
      <c r="G21" s="1" t="s">
        <v>42</v>
      </c>
      <c r="H21" s="1">
        <v>35</v>
      </c>
      <c r="I21" s="1" t="s">
        <v>11</v>
      </c>
      <c r="J21" s="3" t="str">
        <f t="shared" si="0"/>
        <v>Único</v>
      </c>
      <c r="K21" s="5">
        <f t="shared" si="2"/>
        <v>5.6753688989784334E-2</v>
      </c>
    </row>
    <row r="22" spans="1:11" s="3" customFormat="1" ht="15" customHeight="1" x14ac:dyDescent="0.25">
      <c r="A22" s="2">
        <v>45281</v>
      </c>
      <c r="B22" s="1" t="s">
        <v>16</v>
      </c>
      <c r="C22" s="1" t="s">
        <v>9</v>
      </c>
      <c r="D22" s="1" t="str">
        <f t="shared" si="1"/>
        <v>Air Max 97</v>
      </c>
      <c r="E22" s="4">
        <v>749</v>
      </c>
      <c r="F22" s="1">
        <v>1</v>
      </c>
      <c r="G22" s="1" t="s">
        <v>43</v>
      </c>
      <c r="H22" s="1">
        <v>21</v>
      </c>
      <c r="I22" s="1" t="s">
        <v>15</v>
      </c>
      <c r="J22" s="3" t="str">
        <f t="shared" si="0"/>
        <v>Único</v>
      </c>
      <c r="K22" s="5">
        <f t="shared" si="2"/>
        <v>6.0731371118138325E-2</v>
      </c>
    </row>
    <row r="23" spans="1:11" s="3" customFormat="1" ht="15" customHeight="1" x14ac:dyDescent="0.25">
      <c r="A23" s="2">
        <v>45282</v>
      </c>
      <c r="B23" s="1" t="s">
        <v>8</v>
      </c>
      <c r="C23" s="1" t="s">
        <v>13</v>
      </c>
      <c r="D23" s="1" t="str">
        <f t="shared" si="1"/>
        <v>Revolution 5</v>
      </c>
      <c r="E23" s="4">
        <v>299</v>
      </c>
      <c r="F23" s="1">
        <v>2</v>
      </c>
      <c r="G23" s="1" t="s">
        <v>44</v>
      </c>
      <c r="H23" s="1">
        <v>37</v>
      </c>
      <c r="I23" s="1" t="s">
        <v>11</v>
      </c>
      <c r="J23" s="3" t="str">
        <f t="shared" si="0"/>
        <v>Único</v>
      </c>
      <c r="K23" s="5">
        <f t="shared" si="2"/>
        <v>2.4243898483742803E-2</v>
      </c>
    </row>
    <row r="24" spans="1:11" s="3" customFormat="1" ht="15" customHeight="1" x14ac:dyDescent="0.25">
      <c r="A24" s="2">
        <v>45283</v>
      </c>
      <c r="B24" s="1" t="s">
        <v>12</v>
      </c>
      <c r="C24" s="1" t="s">
        <v>17</v>
      </c>
      <c r="D24" s="1" t="str">
        <f t="shared" si="1"/>
        <v>Air Zoom Pegasus</v>
      </c>
      <c r="E24" s="4">
        <v>599</v>
      </c>
      <c r="F24" s="1">
        <v>1</v>
      </c>
      <c r="G24" s="1" t="s">
        <v>45</v>
      </c>
      <c r="H24" s="1">
        <v>28</v>
      </c>
      <c r="I24" s="1" t="s">
        <v>15</v>
      </c>
      <c r="J24" s="3" t="str">
        <f t="shared" si="0"/>
        <v>Único</v>
      </c>
      <c r="K24" s="5">
        <f t="shared" si="2"/>
        <v>4.8564942435544024E-2</v>
      </c>
    </row>
    <row r="25" spans="1:11" s="3" customFormat="1" ht="15" customHeight="1" x14ac:dyDescent="0.25">
      <c r="A25" s="2">
        <v>45284</v>
      </c>
      <c r="B25" s="1" t="s">
        <v>16</v>
      </c>
      <c r="C25" s="1" t="s">
        <v>19</v>
      </c>
      <c r="D25" s="1" t="str">
        <f t="shared" si="1"/>
        <v>Air Force 1</v>
      </c>
      <c r="E25" s="4">
        <v>549</v>
      </c>
      <c r="F25" s="1">
        <v>1</v>
      </c>
      <c r="G25" s="1" t="s">
        <v>46</v>
      </c>
      <c r="H25" s="1">
        <v>23</v>
      </c>
      <c r="I25" s="1" t="s">
        <v>11</v>
      </c>
      <c r="J25" s="3" t="str">
        <f t="shared" si="0"/>
        <v>Único</v>
      </c>
      <c r="K25" s="5">
        <f t="shared" si="2"/>
        <v>4.4514716613962536E-2</v>
      </c>
    </row>
    <row r="26" spans="1:11" s="3" customFormat="1" ht="15" customHeight="1" x14ac:dyDescent="0.25">
      <c r="A26" s="2">
        <v>45285</v>
      </c>
      <c r="B26" s="1" t="s">
        <v>8</v>
      </c>
      <c r="C26" s="1" t="s">
        <v>21</v>
      </c>
      <c r="D26" s="1" t="str">
        <f t="shared" si="1"/>
        <v>Air Max 270</v>
      </c>
      <c r="E26" s="4">
        <v>649</v>
      </c>
      <c r="F26" s="1">
        <v>1</v>
      </c>
      <c r="G26" s="1" t="s">
        <v>47</v>
      </c>
      <c r="H26" s="1">
        <v>19</v>
      </c>
      <c r="I26" s="1" t="s">
        <v>15</v>
      </c>
      <c r="J26" s="3" t="str">
        <f t="shared" si="0"/>
        <v>Único</v>
      </c>
      <c r="K26" s="5">
        <f t="shared" si="2"/>
        <v>5.2623043866050434E-2</v>
      </c>
    </row>
    <row r="27" spans="1:11" s="3" customFormat="1" ht="15" customHeight="1" x14ac:dyDescent="0.25">
      <c r="A27" s="2">
        <v>45286</v>
      </c>
      <c r="B27" s="1" t="s">
        <v>12</v>
      </c>
      <c r="C27" s="1" t="s">
        <v>23</v>
      </c>
      <c r="D27" s="1" t="str">
        <f t="shared" si="1"/>
        <v>Dunk Low</v>
      </c>
      <c r="E27" s="4">
        <v>579</v>
      </c>
      <c r="F27" s="1">
        <v>1</v>
      </c>
      <c r="G27" s="1" t="s">
        <v>48</v>
      </c>
      <c r="H27" s="1">
        <v>33</v>
      </c>
      <c r="I27" s="1" t="s">
        <v>11</v>
      </c>
      <c r="J27" s="3" t="str">
        <f t="shared" si="0"/>
        <v>Único</v>
      </c>
      <c r="K27" s="5">
        <f t="shared" si="2"/>
        <v>4.6943408464407331E-2</v>
      </c>
    </row>
    <row r="28" spans="1:11" s="3" customFormat="1" ht="15" customHeight="1" x14ac:dyDescent="0.25">
      <c r="A28" s="2">
        <v>45287</v>
      </c>
      <c r="B28" s="1" t="s">
        <v>16</v>
      </c>
      <c r="C28" s="1" t="s">
        <v>25</v>
      </c>
      <c r="D28" s="1" t="str">
        <f t="shared" si="1"/>
        <v>SB Chron 2</v>
      </c>
      <c r="E28" s="4">
        <v>359</v>
      </c>
      <c r="F28" s="1">
        <v>2</v>
      </c>
      <c r="G28" s="1" t="s">
        <v>49</v>
      </c>
      <c r="H28" s="1">
        <v>22</v>
      </c>
      <c r="I28" s="1" t="s">
        <v>15</v>
      </c>
      <c r="J28" s="3" t="str">
        <f t="shared" si="0"/>
        <v>Único</v>
      </c>
      <c r="K28" s="5">
        <f t="shared" si="2"/>
        <v>2.9108894834995541E-2</v>
      </c>
    </row>
    <row r="29" spans="1:11" s="3" customFormat="1" ht="15" customHeight="1" x14ac:dyDescent="0.25">
      <c r="A29" s="2">
        <v>45288</v>
      </c>
      <c r="B29" s="1" t="s">
        <v>8</v>
      </c>
      <c r="C29" s="1" t="s">
        <v>27</v>
      </c>
      <c r="D29" s="1" t="str">
        <f t="shared" si="1"/>
        <v>Air VaporMax</v>
      </c>
      <c r="E29" s="4">
        <v>899</v>
      </c>
      <c r="F29" s="1">
        <v>1</v>
      </c>
      <c r="G29" s="1" t="s">
        <v>22</v>
      </c>
      <c r="H29" s="1">
        <v>27</v>
      </c>
      <c r="I29" s="1" t="s">
        <v>11</v>
      </c>
      <c r="J29" s="3" t="str">
        <f t="shared" si="0"/>
        <v>Único</v>
      </c>
      <c r="K29" s="5">
        <f t="shared" si="2"/>
        <v>7.2893861996270168E-2</v>
      </c>
    </row>
    <row r="30" spans="1:11" s="3" customFormat="1" ht="15" customHeight="1" x14ac:dyDescent="0.25">
      <c r="A30" s="2">
        <v>45289</v>
      </c>
      <c r="B30" s="1" t="s">
        <v>12</v>
      </c>
      <c r="C30" s="1" t="s">
        <v>29</v>
      </c>
      <c r="D30" s="1" t="str">
        <f t="shared" si="1"/>
        <v>Joyride</v>
      </c>
      <c r="E30" s="4">
        <v>779</v>
      </c>
      <c r="F30" s="1">
        <v>1</v>
      </c>
      <c r="G30" s="1" t="s">
        <v>10</v>
      </c>
      <c r="H30" s="1">
        <v>36</v>
      </c>
      <c r="I30" s="1" t="s">
        <v>15</v>
      </c>
      <c r="J30" s="3" t="str">
        <f t="shared" si="0"/>
        <v>Único</v>
      </c>
      <c r="K30" s="5">
        <f t="shared" si="2"/>
        <v>6.3158748175774285E-2</v>
      </c>
    </row>
    <row r="31" spans="1:11" s="3" customFormat="1" ht="15" customHeight="1" x14ac:dyDescent="0.25">
      <c r="A31" s="2">
        <v>45290</v>
      </c>
      <c r="B31" s="1" t="s">
        <v>16</v>
      </c>
      <c r="C31" s="1" t="s">
        <v>31</v>
      </c>
      <c r="D31" s="1" t="str">
        <f t="shared" si="1"/>
        <v>Metcon 6</v>
      </c>
      <c r="E31" s="4">
        <v>699</v>
      </c>
      <c r="F31" s="1">
        <v>1</v>
      </c>
      <c r="G31" s="1" t="s">
        <v>24</v>
      </c>
      <c r="H31" s="1">
        <v>25</v>
      </c>
      <c r="I31" s="1" t="s">
        <v>11</v>
      </c>
      <c r="J31" s="3" t="str">
        <f t="shared" si="0"/>
        <v>Único</v>
      </c>
      <c r="K31" s="5">
        <f t="shared" si="2"/>
        <v>5.6677207492094379E-2</v>
      </c>
    </row>
    <row r="32" spans="1:11" s="3" customFormat="1" ht="15" customHeight="1" x14ac:dyDescent="0.25">
      <c r="A32" s="2">
        <v>45292</v>
      </c>
      <c r="B32" s="1" t="s">
        <v>8</v>
      </c>
      <c r="C32" s="1" t="s">
        <v>9</v>
      </c>
      <c r="D32" s="1" t="str">
        <f t="shared" si="1"/>
        <v>Air Max 97</v>
      </c>
      <c r="E32" s="4">
        <v>750</v>
      </c>
      <c r="F32" s="1">
        <v>1</v>
      </c>
      <c r="G32" s="1" t="s">
        <v>14</v>
      </c>
      <c r="H32" s="1">
        <v>29</v>
      </c>
      <c r="I32" s="1" t="s">
        <v>15</v>
      </c>
      <c r="J32" s="3" t="str">
        <f t="shared" si="0"/>
        <v>Único</v>
      </c>
      <c r="K32" s="5">
        <f t="shared" si="2"/>
        <v>6.0812454390659208E-2</v>
      </c>
    </row>
    <row r="33" spans="1:11" s="3" customFormat="1" ht="15" customHeight="1" x14ac:dyDescent="0.25">
      <c r="A33" s="2">
        <v>45293</v>
      </c>
      <c r="B33" s="1" t="s">
        <v>12</v>
      </c>
      <c r="C33" s="1" t="s">
        <v>13</v>
      </c>
      <c r="D33" s="1" t="str">
        <f t="shared" si="1"/>
        <v>Revolution 5</v>
      </c>
      <c r="E33" s="4">
        <v>300</v>
      </c>
      <c r="F33" s="1">
        <v>1</v>
      </c>
      <c r="G33" s="1" t="s">
        <v>20</v>
      </c>
      <c r="H33" s="1">
        <v>32</v>
      </c>
      <c r="I33" s="1" t="s">
        <v>11</v>
      </c>
      <c r="J33" s="3" t="str">
        <f t="shared" si="0"/>
        <v>Único</v>
      </c>
      <c r="K33" s="5">
        <f t="shared" si="2"/>
        <v>2.4323009567050431E-2</v>
      </c>
    </row>
    <row r="34" spans="1:11" s="3" customFormat="1" ht="15" customHeight="1" x14ac:dyDescent="0.25">
      <c r="A34" s="2">
        <v>45294</v>
      </c>
      <c r="B34" s="1" t="s">
        <v>16</v>
      </c>
      <c r="C34" s="1" t="s">
        <v>17</v>
      </c>
      <c r="D34" s="1" t="str">
        <f t="shared" si="1"/>
        <v>Air Zoom Pegasus</v>
      </c>
      <c r="E34" s="4">
        <v>600</v>
      </c>
      <c r="F34" s="1">
        <v>2</v>
      </c>
      <c r="G34" s="1" t="s">
        <v>18</v>
      </c>
      <c r="H34" s="1">
        <v>21</v>
      </c>
      <c r="I34" s="1" t="s">
        <v>15</v>
      </c>
      <c r="J34" s="3" t="str">
        <f t="shared" ref="J34:J61" si="3">IF(COUNTIFS(B$2:B$65, B34, C$2:C$65, C34, D$2:D$65, E34, E$2:E$65, F34, F$2:F$65, G34, G$2:G$65, H34, H$2:H$65, I34) &gt; 1, "Duplicado", "Único")</f>
        <v>Único</v>
      </c>
      <c r="K34" s="5">
        <f t="shared" si="2"/>
        <v>4.8649963512527365E-2</v>
      </c>
    </row>
    <row r="35" spans="1:11" s="3" customFormat="1" ht="15" customHeight="1" x14ac:dyDescent="0.25">
      <c r="A35" s="2">
        <v>45295</v>
      </c>
      <c r="B35" s="1" t="s">
        <v>8</v>
      </c>
      <c r="C35" s="1" t="s">
        <v>19</v>
      </c>
      <c r="D35" s="1" t="str">
        <f t="shared" si="1"/>
        <v>Air Force 1</v>
      </c>
      <c r="E35" s="4">
        <v>550</v>
      </c>
      <c r="F35" s="1">
        <v>1</v>
      </c>
      <c r="G35" s="1" t="s">
        <v>26</v>
      </c>
      <c r="H35" s="1">
        <v>34</v>
      </c>
      <c r="I35" s="1" t="s">
        <v>11</v>
      </c>
      <c r="J35" s="3" t="str">
        <f t="shared" si="3"/>
        <v>Único</v>
      </c>
      <c r="K35" s="5">
        <f t="shared" si="2"/>
        <v>4.459579988648342E-2</v>
      </c>
    </row>
    <row r="36" spans="1:11" s="3" customFormat="1" ht="15" customHeight="1" x14ac:dyDescent="0.25">
      <c r="A36" s="2">
        <v>45296</v>
      </c>
      <c r="B36" s="1" t="s">
        <v>12</v>
      </c>
      <c r="C36" s="1" t="s">
        <v>21</v>
      </c>
      <c r="D36" s="1" t="str">
        <f t="shared" si="1"/>
        <v>Air Max 270</v>
      </c>
      <c r="E36" s="4">
        <v>650</v>
      </c>
      <c r="F36" s="1">
        <v>1</v>
      </c>
      <c r="G36" s="1" t="s">
        <v>30</v>
      </c>
      <c r="H36" s="1">
        <v>28</v>
      </c>
      <c r="I36" s="1" t="s">
        <v>15</v>
      </c>
      <c r="J36" s="3" t="str">
        <f t="shared" si="3"/>
        <v>Único</v>
      </c>
      <c r="K36" s="5">
        <f t="shared" si="2"/>
        <v>5.2699854061942594E-2</v>
      </c>
    </row>
    <row r="37" spans="1:11" s="3" customFormat="1" ht="15" customHeight="1" x14ac:dyDescent="0.25">
      <c r="A37" s="2">
        <v>45297</v>
      </c>
      <c r="B37" s="1" t="s">
        <v>16</v>
      </c>
      <c r="C37" s="1" t="s">
        <v>23</v>
      </c>
      <c r="D37" s="1" t="str">
        <f t="shared" si="1"/>
        <v>Dunk Low</v>
      </c>
      <c r="E37" s="4">
        <v>580</v>
      </c>
      <c r="F37" s="1">
        <v>1</v>
      </c>
      <c r="G37" s="1" t="s">
        <v>32</v>
      </c>
      <c r="H37" s="1">
        <v>30</v>
      </c>
      <c r="I37" s="1" t="s">
        <v>11</v>
      </c>
      <c r="J37" s="3" t="str">
        <f t="shared" si="3"/>
        <v>Único</v>
      </c>
      <c r="K37" s="5">
        <f t="shared" si="2"/>
        <v>4.7028298062109786E-2</v>
      </c>
    </row>
    <row r="38" spans="1:11" s="3" customFormat="1" ht="15" customHeight="1" x14ac:dyDescent="0.25">
      <c r="A38" s="2">
        <v>45298</v>
      </c>
      <c r="B38" s="1" t="s">
        <v>8</v>
      </c>
      <c r="C38" s="1" t="s">
        <v>25</v>
      </c>
      <c r="D38" s="1" t="str">
        <f t="shared" si="1"/>
        <v>SB Chron 2</v>
      </c>
      <c r="E38" s="4">
        <v>360</v>
      </c>
      <c r="F38" s="1">
        <v>1</v>
      </c>
      <c r="G38" s="1" t="s">
        <v>28</v>
      </c>
      <c r="H38" s="1">
        <v>24</v>
      </c>
      <c r="I38" s="1" t="s">
        <v>15</v>
      </c>
      <c r="J38" s="3" t="str">
        <f t="shared" si="3"/>
        <v>Único</v>
      </c>
      <c r="K38" s="5">
        <f t="shared" si="2"/>
        <v>2.9189978107516418E-2</v>
      </c>
    </row>
    <row r="39" spans="1:11" s="3" customFormat="1" ht="15" customHeight="1" x14ac:dyDescent="0.25">
      <c r="A39" s="2">
        <v>45299</v>
      </c>
      <c r="B39" s="1" t="s">
        <v>12</v>
      </c>
      <c r="C39" s="1" t="s">
        <v>27</v>
      </c>
      <c r="D39" s="1" t="str">
        <f t="shared" si="1"/>
        <v>Air VaporMax</v>
      </c>
      <c r="E39" s="4">
        <v>900</v>
      </c>
      <c r="F39" s="1">
        <v>2</v>
      </c>
      <c r="G39" s="1" t="s">
        <v>22</v>
      </c>
      <c r="H39" s="1">
        <v>23</v>
      </c>
      <c r="I39" s="1" t="s">
        <v>11</v>
      </c>
      <c r="J39" s="3" t="str">
        <f t="shared" si="3"/>
        <v>Único</v>
      </c>
      <c r="K39" s="5">
        <f t="shared" si="2"/>
        <v>7.2969028701151295E-2</v>
      </c>
    </row>
    <row r="40" spans="1:11" s="3" customFormat="1" ht="15" customHeight="1" x14ac:dyDescent="0.25">
      <c r="A40" s="2">
        <v>45300</v>
      </c>
      <c r="B40" s="1" t="s">
        <v>16</v>
      </c>
      <c r="C40" s="1" t="s">
        <v>29</v>
      </c>
      <c r="D40" s="1" t="str">
        <f t="shared" si="1"/>
        <v>Joyride</v>
      </c>
      <c r="E40" s="4">
        <v>780</v>
      </c>
      <c r="F40" s="1">
        <v>1</v>
      </c>
      <c r="G40" s="1" t="s">
        <v>33</v>
      </c>
      <c r="H40" s="1">
        <v>27</v>
      </c>
      <c r="I40" s="1" t="s">
        <v>15</v>
      </c>
      <c r="J40" s="3" t="str">
        <f t="shared" si="3"/>
        <v>Único</v>
      </c>
      <c r="K40" s="5">
        <f t="shared" si="2"/>
        <v>6.3244952566285581E-2</v>
      </c>
    </row>
    <row r="41" spans="1:11" s="3" customFormat="1" ht="15" customHeight="1" x14ac:dyDescent="0.25">
      <c r="A41" s="2">
        <v>45301</v>
      </c>
      <c r="B41" s="1" t="s">
        <v>8</v>
      </c>
      <c r="C41" s="1" t="s">
        <v>31</v>
      </c>
      <c r="D41" s="1" t="str">
        <f t="shared" si="1"/>
        <v>Metcon 6</v>
      </c>
      <c r="E41" s="4">
        <v>700</v>
      </c>
      <c r="F41" s="1">
        <v>1</v>
      </c>
      <c r="G41" s="1" t="s">
        <v>36</v>
      </c>
      <c r="H41" s="1">
        <v>35</v>
      </c>
      <c r="I41" s="1" t="s">
        <v>11</v>
      </c>
      <c r="J41" s="3" t="str">
        <f t="shared" si="3"/>
        <v>Único</v>
      </c>
      <c r="K41" s="5">
        <f t="shared" si="2"/>
        <v>5.6758290764615263E-2</v>
      </c>
    </row>
    <row r="42" spans="1:11" s="3" customFormat="1" ht="15" customHeight="1" x14ac:dyDescent="0.25">
      <c r="A42" s="2">
        <v>45302</v>
      </c>
      <c r="B42" s="1" t="s">
        <v>12</v>
      </c>
      <c r="C42" s="1" t="s">
        <v>9</v>
      </c>
      <c r="D42" s="1" t="str">
        <f t="shared" si="1"/>
        <v>Air Max 97</v>
      </c>
      <c r="E42" s="4">
        <v>750</v>
      </c>
      <c r="F42" s="1">
        <v>1</v>
      </c>
      <c r="G42" s="1" t="s">
        <v>45</v>
      </c>
      <c r="H42" s="1">
        <v>22</v>
      </c>
      <c r="I42" s="1" t="s">
        <v>15</v>
      </c>
      <c r="J42" s="3" t="str">
        <f t="shared" si="3"/>
        <v>Único</v>
      </c>
      <c r="K42" s="5">
        <f t="shared" si="2"/>
        <v>6.0807523917626075E-2</v>
      </c>
    </row>
    <row r="43" spans="1:11" s="3" customFormat="1" ht="15" customHeight="1" x14ac:dyDescent="0.25">
      <c r="A43" s="2">
        <v>45303</v>
      </c>
      <c r="B43" s="1" t="s">
        <v>16</v>
      </c>
      <c r="C43" s="1" t="s">
        <v>13</v>
      </c>
      <c r="D43" s="1" t="str">
        <f t="shared" si="1"/>
        <v>Revolution 5</v>
      </c>
      <c r="E43" s="4">
        <v>300</v>
      </c>
      <c r="F43" s="1">
        <v>1</v>
      </c>
      <c r="G43" s="1" t="s">
        <v>41</v>
      </c>
      <c r="H43" s="1">
        <v>35</v>
      </c>
      <c r="I43" s="1" t="s">
        <v>11</v>
      </c>
      <c r="J43" s="3" t="str">
        <f t="shared" si="3"/>
        <v>Único</v>
      </c>
      <c r="K43" s="5">
        <f t="shared" si="2"/>
        <v>2.4324981756263683E-2</v>
      </c>
    </row>
    <row r="44" spans="1:11" s="3" customFormat="1" ht="15" customHeight="1" x14ac:dyDescent="0.25">
      <c r="A44" s="2">
        <v>45304</v>
      </c>
      <c r="B44" s="1" t="s">
        <v>8</v>
      </c>
      <c r="C44" s="1" t="s">
        <v>17</v>
      </c>
      <c r="D44" s="1" t="str">
        <f t="shared" si="1"/>
        <v>Air Zoom Pegasus</v>
      </c>
      <c r="E44" s="4">
        <v>600</v>
      </c>
      <c r="F44" s="1">
        <v>1</v>
      </c>
      <c r="G44" s="1" t="s">
        <v>22</v>
      </c>
      <c r="H44" s="1">
        <v>29</v>
      </c>
      <c r="I44" s="1" t="s">
        <v>15</v>
      </c>
      <c r="J44" s="3" t="str">
        <f t="shared" si="3"/>
        <v>Único</v>
      </c>
      <c r="K44" s="5">
        <f t="shared" si="2"/>
        <v>4.8649963512527365E-2</v>
      </c>
    </row>
    <row r="45" spans="1:11" s="3" customFormat="1" ht="15" customHeight="1" x14ac:dyDescent="0.25">
      <c r="A45" s="2">
        <v>45305</v>
      </c>
      <c r="B45" s="1" t="s">
        <v>12</v>
      </c>
      <c r="C45" s="1" t="s">
        <v>19</v>
      </c>
      <c r="D45" s="1" t="str">
        <f t="shared" si="1"/>
        <v>Air Force 1</v>
      </c>
      <c r="E45" s="4">
        <v>550</v>
      </c>
      <c r="F45" s="1">
        <v>1</v>
      </c>
      <c r="G45" s="1" t="s">
        <v>10</v>
      </c>
      <c r="H45" s="1">
        <v>24</v>
      </c>
      <c r="I45" s="1" t="s">
        <v>11</v>
      </c>
      <c r="J45" s="3" t="str">
        <f t="shared" si="3"/>
        <v>Único</v>
      </c>
      <c r="K45" s="5">
        <f t="shared" si="2"/>
        <v>4.4592184206259121E-2</v>
      </c>
    </row>
    <row r="46" spans="1:11" s="3" customFormat="1" ht="15" customHeight="1" x14ac:dyDescent="0.25">
      <c r="A46" s="2">
        <v>45306</v>
      </c>
      <c r="B46" s="1" t="s">
        <v>16</v>
      </c>
      <c r="C46" s="1" t="s">
        <v>21</v>
      </c>
      <c r="D46" s="1" t="str">
        <f t="shared" si="1"/>
        <v>Air Max 270</v>
      </c>
      <c r="E46" s="4">
        <v>650</v>
      </c>
      <c r="F46" s="1">
        <v>1</v>
      </c>
      <c r="G46" s="1" t="s">
        <v>14</v>
      </c>
      <c r="H46" s="1">
        <v>42</v>
      </c>
      <c r="I46" s="1" t="s">
        <v>15</v>
      </c>
      <c r="J46" s="3" t="str">
        <f t="shared" si="3"/>
        <v>Único</v>
      </c>
      <c r="K46" s="5">
        <f t="shared" si="2"/>
        <v>5.2704127138571311E-2</v>
      </c>
    </row>
    <row r="47" spans="1:11" s="3" customFormat="1" ht="15" customHeight="1" x14ac:dyDescent="0.25">
      <c r="A47" s="2">
        <v>45307</v>
      </c>
      <c r="B47" s="1" t="s">
        <v>8</v>
      </c>
      <c r="C47" s="1" t="s">
        <v>23</v>
      </c>
      <c r="D47" s="1" t="str">
        <f t="shared" si="1"/>
        <v>Dunk Low</v>
      </c>
      <c r="E47" s="4">
        <v>580</v>
      </c>
      <c r="F47" s="1">
        <v>1</v>
      </c>
      <c r="G47" s="1" t="s">
        <v>20</v>
      </c>
      <c r="H47" s="1">
        <v>27</v>
      </c>
      <c r="I47" s="1" t="s">
        <v>11</v>
      </c>
      <c r="J47" s="3" t="str">
        <f t="shared" si="3"/>
        <v>Único</v>
      </c>
      <c r="K47" s="5">
        <f t="shared" si="2"/>
        <v>4.7028298062109786E-2</v>
      </c>
    </row>
    <row r="48" spans="1:11" s="3" customFormat="1" ht="15" customHeight="1" x14ac:dyDescent="0.25">
      <c r="A48" s="2">
        <v>45308</v>
      </c>
      <c r="B48" s="1" t="s">
        <v>12</v>
      </c>
      <c r="C48" s="1" t="s">
        <v>25</v>
      </c>
      <c r="D48" s="1" t="str">
        <f t="shared" si="1"/>
        <v>SB Chron 2</v>
      </c>
      <c r="E48" s="4">
        <v>360</v>
      </c>
      <c r="F48" s="1">
        <v>1</v>
      </c>
      <c r="G48" s="1" t="s">
        <v>24</v>
      </c>
      <c r="H48" s="1">
        <v>30</v>
      </c>
      <c r="I48" s="1" t="s">
        <v>15</v>
      </c>
      <c r="J48" s="3" t="str">
        <f t="shared" si="3"/>
        <v>Único</v>
      </c>
      <c r="K48" s="5">
        <f t="shared" si="2"/>
        <v>2.9187611480460517E-2</v>
      </c>
    </row>
    <row r="49" spans="1:11" s="3" customFormat="1" ht="15" customHeight="1" x14ac:dyDescent="0.25">
      <c r="A49" s="2">
        <v>45309</v>
      </c>
      <c r="B49" s="1" t="s">
        <v>16</v>
      </c>
      <c r="C49" s="1" t="s">
        <v>27</v>
      </c>
      <c r="D49" s="1" t="str">
        <f t="shared" si="1"/>
        <v>Air VaporMax</v>
      </c>
      <c r="E49" s="4">
        <v>900</v>
      </c>
      <c r="F49" s="1">
        <v>1</v>
      </c>
      <c r="G49" s="1" t="s">
        <v>26</v>
      </c>
      <c r="H49" s="1">
        <v>23</v>
      </c>
      <c r="I49" s="1" t="s">
        <v>11</v>
      </c>
      <c r="J49" s="3" t="str">
        <f t="shared" si="3"/>
        <v>Único</v>
      </c>
      <c r="K49" s="5">
        <f t="shared" si="2"/>
        <v>7.2974945268791044E-2</v>
      </c>
    </row>
    <row r="50" spans="1:11" s="3" customFormat="1" ht="15" customHeight="1" x14ac:dyDescent="0.25">
      <c r="A50" s="2">
        <v>45310</v>
      </c>
      <c r="B50" s="1" t="s">
        <v>8</v>
      </c>
      <c r="C50" s="1" t="s">
        <v>29</v>
      </c>
      <c r="D50" s="1" t="str">
        <f t="shared" si="1"/>
        <v>Joyride</v>
      </c>
      <c r="E50" s="4">
        <v>780</v>
      </c>
      <c r="F50" s="1">
        <v>1</v>
      </c>
      <c r="G50" s="1" t="s">
        <v>32</v>
      </c>
      <c r="H50" s="1">
        <v>31</v>
      </c>
      <c r="I50" s="1" t="s">
        <v>15</v>
      </c>
      <c r="J50" s="3" t="str">
        <f t="shared" si="3"/>
        <v>Único</v>
      </c>
      <c r="K50" s="5">
        <f t="shared" si="2"/>
        <v>6.3244952566285581E-2</v>
      </c>
    </row>
    <row r="51" spans="1:11" s="3" customFormat="1" ht="15" customHeight="1" x14ac:dyDescent="0.25">
      <c r="A51" s="2">
        <v>45311</v>
      </c>
      <c r="B51" s="1" t="s">
        <v>12</v>
      </c>
      <c r="C51" s="1" t="s">
        <v>31</v>
      </c>
      <c r="D51" s="1" t="str">
        <f t="shared" si="1"/>
        <v>Metcon 6</v>
      </c>
      <c r="E51" s="4">
        <v>700</v>
      </c>
      <c r="F51" s="1">
        <v>1</v>
      </c>
      <c r="G51" s="1" t="s">
        <v>28</v>
      </c>
      <c r="H51" s="1">
        <v>28</v>
      </c>
      <c r="I51" s="1" t="s">
        <v>11</v>
      </c>
      <c r="J51" s="3" t="str">
        <f t="shared" si="3"/>
        <v>Único</v>
      </c>
      <c r="K51" s="5">
        <f t="shared" si="2"/>
        <v>5.6753688989784334E-2</v>
      </c>
    </row>
    <row r="52" spans="1:11" s="3" customFormat="1" ht="15" customHeight="1" x14ac:dyDescent="0.25">
      <c r="A52" s="2">
        <v>45312</v>
      </c>
      <c r="B52" s="1" t="s">
        <v>16</v>
      </c>
      <c r="C52" s="1" t="s">
        <v>9</v>
      </c>
      <c r="D52" s="1" t="str">
        <f t="shared" si="1"/>
        <v>Air Max 97</v>
      </c>
      <c r="E52" s="4">
        <v>750</v>
      </c>
      <c r="F52" s="1">
        <v>1</v>
      </c>
      <c r="G52" s="1" t="s">
        <v>43</v>
      </c>
      <c r="H52" s="1">
        <v>21</v>
      </c>
      <c r="I52" s="1" t="s">
        <v>15</v>
      </c>
      <c r="J52" s="3" t="str">
        <f t="shared" si="3"/>
        <v>Único</v>
      </c>
      <c r="K52" s="5">
        <f t="shared" si="2"/>
        <v>6.0812454390659208E-2</v>
      </c>
    </row>
    <row r="53" spans="1:11" s="3" customFormat="1" ht="15" customHeight="1" x14ac:dyDescent="0.25">
      <c r="A53" s="2">
        <v>45313</v>
      </c>
      <c r="B53" s="1" t="s">
        <v>8</v>
      </c>
      <c r="C53" s="1" t="s">
        <v>13</v>
      </c>
      <c r="D53" s="1" t="str">
        <f t="shared" si="1"/>
        <v>Revolution 5</v>
      </c>
      <c r="E53" s="4">
        <v>300</v>
      </c>
      <c r="F53" s="1">
        <v>1</v>
      </c>
      <c r="G53" s="1" t="s">
        <v>44</v>
      </c>
      <c r="H53" s="1">
        <v>33</v>
      </c>
      <c r="I53" s="1" t="s">
        <v>11</v>
      </c>
      <c r="J53" s="3" t="str">
        <f t="shared" si="3"/>
        <v>Único</v>
      </c>
      <c r="K53" s="5">
        <f t="shared" si="2"/>
        <v>2.4324981756263683E-2</v>
      </c>
    </row>
    <row r="54" spans="1:11" s="3" customFormat="1" ht="15" customHeight="1" x14ac:dyDescent="0.25">
      <c r="A54" s="2">
        <v>45314</v>
      </c>
      <c r="B54" s="1" t="s">
        <v>12</v>
      </c>
      <c r="C54" s="1" t="s">
        <v>17</v>
      </c>
      <c r="D54" s="1" t="str">
        <f t="shared" si="1"/>
        <v>Air Zoom Pegasus</v>
      </c>
      <c r="E54" s="4">
        <v>600</v>
      </c>
      <c r="F54" s="1">
        <v>1</v>
      </c>
      <c r="G54" s="1" t="s">
        <v>35</v>
      </c>
      <c r="H54" s="1">
        <v>26</v>
      </c>
      <c r="I54" s="1" t="s">
        <v>15</v>
      </c>
      <c r="J54" s="3" t="str">
        <f t="shared" si="3"/>
        <v>Único</v>
      </c>
      <c r="K54" s="5">
        <f t="shared" si="2"/>
        <v>4.8646019134100861E-2</v>
      </c>
    </row>
    <row r="55" spans="1:11" s="3" customFormat="1" ht="15" customHeight="1" x14ac:dyDescent="0.25">
      <c r="A55" s="2">
        <v>45315</v>
      </c>
      <c r="B55" s="1" t="s">
        <v>16</v>
      </c>
      <c r="C55" s="1" t="s">
        <v>19</v>
      </c>
      <c r="D55" s="1" t="str">
        <f t="shared" si="1"/>
        <v>Air Force 1</v>
      </c>
      <c r="E55" s="4">
        <v>550</v>
      </c>
      <c r="F55" s="1">
        <v>1</v>
      </c>
      <c r="G55" s="1" t="s">
        <v>34</v>
      </c>
      <c r="H55" s="1">
        <v>19</v>
      </c>
      <c r="I55" s="1" t="s">
        <v>11</v>
      </c>
      <c r="J55" s="3" t="str">
        <f t="shared" si="3"/>
        <v>Único</v>
      </c>
      <c r="K55" s="5">
        <f t="shared" si="2"/>
        <v>4.459579988648342E-2</v>
      </c>
    </row>
    <row r="56" spans="1:11" s="3" customFormat="1" ht="15" customHeight="1" x14ac:dyDescent="0.25">
      <c r="A56" s="2">
        <v>45316</v>
      </c>
      <c r="B56" s="1" t="s">
        <v>8</v>
      </c>
      <c r="C56" s="1" t="s">
        <v>21</v>
      </c>
      <c r="D56" s="1" t="str">
        <f t="shared" si="1"/>
        <v>Air Max 270</v>
      </c>
      <c r="E56" s="4">
        <v>650</v>
      </c>
      <c r="F56" s="1">
        <v>1</v>
      </c>
      <c r="G56" s="1" t="s">
        <v>30</v>
      </c>
      <c r="H56" s="1">
        <v>34</v>
      </c>
      <c r="I56" s="1" t="s">
        <v>15</v>
      </c>
      <c r="J56" s="3" t="str">
        <f t="shared" si="3"/>
        <v>Único</v>
      </c>
      <c r="K56" s="5">
        <f t="shared" si="2"/>
        <v>5.2704127138571311E-2</v>
      </c>
    </row>
    <row r="57" spans="1:11" s="3" customFormat="1" ht="15" customHeight="1" x14ac:dyDescent="0.25">
      <c r="A57" s="2">
        <v>45317</v>
      </c>
      <c r="B57" s="1" t="s">
        <v>12</v>
      </c>
      <c r="C57" s="1" t="s">
        <v>23</v>
      </c>
      <c r="D57" s="1" t="str">
        <f t="shared" si="1"/>
        <v>Dunk Low</v>
      </c>
      <c r="E57" s="4">
        <v>580</v>
      </c>
      <c r="F57" s="1">
        <v>1</v>
      </c>
      <c r="G57" s="1" t="s">
        <v>36</v>
      </c>
      <c r="H57" s="1">
        <v>37</v>
      </c>
      <c r="I57" s="1" t="s">
        <v>11</v>
      </c>
      <c r="J57" s="3" t="str">
        <f t="shared" si="3"/>
        <v>Único</v>
      </c>
      <c r="K57" s="5">
        <f t="shared" si="2"/>
        <v>4.7024485162964161E-2</v>
      </c>
    </row>
    <row r="58" spans="1:11" s="3" customFormat="1" ht="15" customHeight="1" x14ac:dyDescent="0.25">
      <c r="A58" s="2">
        <v>45318</v>
      </c>
      <c r="B58" s="1" t="s">
        <v>16</v>
      </c>
      <c r="C58" s="1" t="s">
        <v>25</v>
      </c>
      <c r="D58" s="1" t="str">
        <f t="shared" si="1"/>
        <v>SB Chron 2</v>
      </c>
      <c r="E58" s="4">
        <v>360</v>
      </c>
      <c r="F58" s="1">
        <v>1</v>
      </c>
      <c r="G58" s="1" t="s">
        <v>38</v>
      </c>
      <c r="H58" s="1">
        <v>29</v>
      </c>
      <c r="I58" s="1" t="s">
        <v>15</v>
      </c>
      <c r="J58" s="3" t="str">
        <f t="shared" si="3"/>
        <v>Único</v>
      </c>
      <c r="K58" s="5">
        <f t="shared" si="2"/>
        <v>2.9189978107516418E-2</v>
      </c>
    </row>
    <row r="59" spans="1:11" s="3" customFormat="1" ht="15" customHeight="1" x14ac:dyDescent="0.25">
      <c r="A59" s="2">
        <v>45319</v>
      </c>
      <c r="B59" s="1" t="s">
        <v>8</v>
      </c>
      <c r="C59" s="1" t="s">
        <v>27</v>
      </c>
      <c r="D59" s="1" t="str">
        <f t="shared" si="1"/>
        <v>Air VaporMax</v>
      </c>
      <c r="E59" s="4">
        <v>900</v>
      </c>
      <c r="F59" s="1">
        <v>1</v>
      </c>
      <c r="G59" s="1" t="s">
        <v>18</v>
      </c>
      <c r="H59" s="1">
        <v>25</v>
      </c>
      <c r="I59" s="1" t="s">
        <v>11</v>
      </c>
      <c r="J59" s="3" t="str">
        <f t="shared" si="3"/>
        <v>Único</v>
      </c>
      <c r="K59" s="5">
        <f t="shared" si="2"/>
        <v>7.2974945268791044E-2</v>
      </c>
    </row>
    <row r="60" spans="1:11" s="3" customFormat="1" ht="15" customHeight="1" x14ac:dyDescent="0.25">
      <c r="A60" s="2">
        <v>45320</v>
      </c>
      <c r="B60" s="1" t="s">
        <v>12</v>
      </c>
      <c r="C60" s="1" t="s">
        <v>29</v>
      </c>
      <c r="D60" s="1" t="str">
        <f t="shared" si="1"/>
        <v>Joyride</v>
      </c>
      <c r="E60" s="4">
        <v>780</v>
      </c>
      <c r="F60" s="1">
        <v>1</v>
      </c>
      <c r="G60" s="1" t="s">
        <v>33</v>
      </c>
      <c r="H60" s="1">
        <v>32</v>
      </c>
      <c r="I60" s="1" t="s">
        <v>15</v>
      </c>
      <c r="J60" s="3" t="str">
        <f t="shared" si="3"/>
        <v>Único</v>
      </c>
      <c r="K60" s="5">
        <f t="shared" si="2"/>
        <v>6.3239824874331121E-2</v>
      </c>
    </row>
    <row r="61" spans="1:11" s="3" customFormat="1" ht="15" customHeight="1" x14ac:dyDescent="0.25">
      <c r="A61" s="2">
        <v>45321</v>
      </c>
      <c r="B61" s="1" t="s">
        <v>16</v>
      </c>
      <c r="C61" s="1" t="s">
        <v>31</v>
      </c>
      <c r="D61" s="1" t="str">
        <f t="shared" si="1"/>
        <v>Metcon 6</v>
      </c>
      <c r="E61" s="4">
        <v>700</v>
      </c>
      <c r="F61" s="1">
        <v>1</v>
      </c>
      <c r="G61" s="1" t="s">
        <v>46</v>
      </c>
      <c r="H61" s="1">
        <v>24</v>
      </c>
      <c r="I61" s="1" t="s">
        <v>11</v>
      </c>
      <c r="J61" s="3" t="str">
        <f t="shared" si="3"/>
        <v>Único</v>
      </c>
      <c r="K61" s="5">
        <f t="shared" si="2"/>
        <v>5.6758290764615263E-2</v>
      </c>
    </row>
    <row r="62" spans="1:11" s="3" customFormat="1" ht="15" customHeight="1" x14ac:dyDescent="0.25">
      <c r="A62"/>
      <c r="B62"/>
      <c r="C62"/>
      <c r="D62"/>
      <c r="E62"/>
      <c r="F62"/>
      <c r="G62"/>
      <c r="H62"/>
      <c r="I62"/>
    </row>
    <row r="63" spans="1:11" s="3" customFormat="1" ht="15" customHeight="1" x14ac:dyDescent="0.25">
      <c r="A63"/>
      <c r="B63"/>
      <c r="C63"/>
      <c r="D63"/>
      <c r="E63"/>
      <c r="F63"/>
      <c r="G63"/>
      <c r="H63"/>
      <c r="I63"/>
    </row>
    <row r="64" spans="1:11" s="3" customFormat="1" ht="15" customHeight="1" x14ac:dyDescent="0.25">
      <c r="A64"/>
      <c r="B64"/>
      <c r="C64"/>
      <c r="D64"/>
      <c r="E64"/>
      <c r="F64"/>
      <c r="G64"/>
      <c r="H64"/>
      <c r="I64"/>
    </row>
    <row r="65" spans="1:9" s="3" customFormat="1" ht="15" customHeight="1" x14ac:dyDescent="0.25">
      <c r="A65"/>
      <c r="B65"/>
      <c r="C65"/>
      <c r="D65"/>
      <c r="E65"/>
      <c r="F65"/>
      <c r="G65"/>
      <c r="H65"/>
      <c r="I65"/>
    </row>
  </sheetData>
  <conditionalFormatting sqref="C2:C61">
    <cfRule type="cellIs" dxfId="2" priority="3" operator="equal">
      <formula>"Nike Air Max 97"</formula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&amp;L_x000D_&amp;1#&amp;"Aptos"&amp;8&amp;K000000 Classified as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AEAF-5F2B-484F-B343-D5E99E5D4065}">
  <dimension ref="B6:C20"/>
  <sheetViews>
    <sheetView workbookViewId="0">
      <selection activeCell="Q6" sqref="Q6"/>
    </sheetView>
  </sheetViews>
  <sheetFormatPr defaultRowHeight="15" x14ac:dyDescent="0.25"/>
  <cols>
    <col min="2" max="2" width="21.5703125" bestFit="1" customWidth="1"/>
    <col min="3" max="3" width="27.85546875" bestFit="1" customWidth="1"/>
  </cols>
  <sheetData>
    <row r="6" spans="2:3" x14ac:dyDescent="0.25">
      <c r="B6" s="7" t="s">
        <v>51</v>
      </c>
      <c r="C6" t="s">
        <v>57</v>
      </c>
    </row>
    <row r="8" spans="2:3" x14ac:dyDescent="0.25">
      <c r="B8" s="7" t="s">
        <v>54</v>
      </c>
      <c r="C8" t="s">
        <v>53</v>
      </c>
    </row>
    <row r="9" spans="2:3" x14ac:dyDescent="0.25">
      <c r="B9" s="8" t="s">
        <v>19</v>
      </c>
      <c r="C9" s="6">
        <v>6</v>
      </c>
    </row>
    <row r="10" spans="2:3" x14ac:dyDescent="0.25">
      <c r="B10" s="8" t="s">
        <v>21</v>
      </c>
      <c r="C10" s="6">
        <v>6</v>
      </c>
    </row>
    <row r="11" spans="2:3" x14ac:dyDescent="0.25">
      <c r="B11" s="8" t="s">
        <v>9</v>
      </c>
      <c r="C11" s="6">
        <v>6</v>
      </c>
    </row>
    <row r="12" spans="2:3" x14ac:dyDescent="0.25">
      <c r="B12" s="8" t="s">
        <v>27</v>
      </c>
      <c r="C12" s="6">
        <v>8</v>
      </c>
    </row>
    <row r="13" spans="2:3" x14ac:dyDescent="0.25">
      <c r="B13" s="8" t="s">
        <v>17</v>
      </c>
      <c r="C13" s="6">
        <v>8</v>
      </c>
    </row>
    <row r="14" spans="2:3" x14ac:dyDescent="0.25">
      <c r="B14" s="8" t="s">
        <v>23</v>
      </c>
      <c r="C14" s="6">
        <v>7</v>
      </c>
    </row>
    <row r="15" spans="2:3" x14ac:dyDescent="0.25">
      <c r="B15" s="8" t="s">
        <v>29</v>
      </c>
      <c r="C15" s="6">
        <v>6</v>
      </c>
    </row>
    <row r="16" spans="2:3" x14ac:dyDescent="0.25">
      <c r="B16" s="8" t="s">
        <v>31</v>
      </c>
      <c r="C16" s="6">
        <v>6</v>
      </c>
    </row>
    <row r="17" spans="2:3" x14ac:dyDescent="0.25">
      <c r="B17" s="8" t="s">
        <v>13</v>
      </c>
      <c r="C17" s="6">
        <v>8</v>
      </c>
    </row>
    <row r="18" spans="2:3" x14ac:dyDescent="0.25">
      <c r="B18" s="8" t="s">
        <v>25</v>
      </c>
      <c r="C18" s="6">
        <v>7</v>
      </c>
    </row>
    <row r="19" spans="2:3" x14ac:dyDescent="0.25">
      <c r="B19" s="8" t="s">
        <v>55</v>
      </c>
      <c r="C19" s="6"/>
    </row>
    <row r="20" spans="2:3" x14ac:dyDescent="0.25">
      <c r="B20" s="8" t="s">
        <v>56</v>
      </c>
      <c r="C20" s="6">
        <v>68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&amp;L_x000D_&amp;1#&amp;"Aptos"&amp;8&amp;K000000 Classified as Confidential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462-09E9-47D1-8363-E11D87882F5E}">
  <dimension ref="F1:T2"/>
  <sheetViews>
    <sheetView showGridLines="0" tabSelected="1" workbookViewId="0">
      <selection activeCell="I1" sqref="I1"/>
    </sheetView>
  </sheetViews>
  <sheetFormatPr defaultRowHeight="15" x14ac:dyDescent="0.25"/>
  <cols>
    <col min="1" max="16384" width="9.140625" style="11"/>
  </cols>
  <sheetData>
    <row r="1" spans="6:20" ht="80.25" customHeight="1" thickBot="1" x14ac:dyDescent="0.3">
      <c r="F1" s="13" t="s">
        <v>58</v>
      </c>
      <c r="G1" s="13" t="s">
        <v>59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2"/>
      <c r="T1" s="12"/>
    </row>
    <row r="2" spans="6:20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headerFooter>
    <oddFooter>&amp;L_x000D_&amp;1#&amp;"Aptos"&amp;8&amp;K000000 Classified as Confidential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547260-58df-41c0-9771-49cbfb5f03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4470278D81C4184FECD899AB7DBF6" ma:contentTypeVersion="5" ma:contentTypeDescription="Create a new document." ma:contentTypeScope="" ma:versionID="e150372eeb2fe2ad179b06cf7853f206">
  <xsd:schema xmlns:xsd="http://www.w3.org/2001/XMLSchema" xmlns:xs="http://www.w3.org/2001/XMLSchema" xmlns:p="http://schemas.microsoft.com/office/2006/metadata/properties" xmlns:ns3="65547260-58df-41c0-9771-49cbfb5f03c2" targetNamespace="http://schemas.microsoft.com/office/2006/metadata/properties" ma:root="true" ma:fieldsID="37556cf278dd89ada3e9b42d615ec57d" ns3:_="">
    <xsd:import namespace="65547260-58df-41c0-9771-49cbfb5f03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47260-58df-41c0-9771-49cbfb5f03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FAE05-DE0C-45B3-9835-C9EF4258C72A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65547260-58df-41c0-9771-49cbfb5f03c2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37E7D2-1DFE-401B-83AF-9C6661E78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762F04-666E-44F1-BD58-95982BB61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547260-58df-41c0-9771-49cbfb5f03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RAPHAEL DA SILVA CARVALHO</cp:lastModifiedBy>
  <dcterms:created xsi:type="dcterms:W3CDTF">2024-12-17T22:39:16Z</dcterms:created>
  <dcterms:modified xsi:type="dcterms:W3CDTF">2026-01-22T00:20:59Z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0x010100F134470278D81C4184FECD899AB7DBF6</vt:lpwstr>
  </property>
  <property fmtid="{D5CDD505-2E9C-101B-9397-08002B2CF9AE}" pid="3" name="MediaServiceImageTags">
    <vt:lpwstr/>
  </property>
  <property fmtid="{D5CDD505-2E9C-101B-9397-08002B2CF9AE}" pid="4" name="MSIP_Label_defa4170-0d19-0005-0006-bc88714345d2_Enabled">
    <vt:lpwstr>true</vt:lpwstr>
  </property>
  <property fmtid="{D5CDD505-2E9C-101B-9397-08002B2CF9AE}" pid="5" name="MSIP_Label_defa4170-0d19-0005-0006-bc88714345d2_SetDate">
    <vt:lpwstr>2026-01-22T00:19:20Z</vt:lpwstr>
  </property>
  <property fmtid="{D5CDD505-2E9C-101B-9397-08002B2CF9AE}" pid="6" name="MSIP_Label_defa4170-0d19-0005-0006-bc88714345d2_Method">
    <vt:lpwstr>Privileged</vt:lpwstr>
  </property>
  <property fmtid="{D5CDD505-2E9C-101B-9397-08002B2CF9AE}" pid="7" name="MSIP_Label_defa4170-0d19-0005-0006-bc88714345d2_Name">
    <vt:lpwstr>defa4170-0d19-0005-0006-bc88714345d2</vt:lpwstr>
  </property>
  <property fmtid="{D5CDD505-2E9C-101B-9397-08002B2CF9AE}" pid="8" name="MSIP_Label_defa4170-0d19-0005-0006-bc88714345d2_SiteId">
    <vt:lpwstr>38ae2f02-5710-4e12-80bb-83600c3fdf1e</vt:lpwstr>
  </property>
  <property fmtid="{D5CDD505-2E9C-101B-9397-08002B2CF9AE}" pid="9" name="MSIP_Label_defa4170-0d19-0005-0006-bc88714345d2_ActionId">
    <vt:lpwstr>d8251ad8-739a-4ddc-ad37-7e4803e4642a</vt:lpwstr>
  </property>
  <property fmtid="{D5CDD505-2E9C-101B-9397-08002B2CF9AE}" pid="10" name="MSIP_Label_defa4170-0d19-0005-0006-bc88714345d2_ContentBits">
    <vt:lpwstr>2</vt:lpwstr>
  </property>
  <property fmtid="{D5CDD505-2E9C-101B-9397-08002B2CF9AE}" pid="11" name="MSIP_Label_defa4170-0d19-0005-0006-bc88714345d2_Tag">
    <vt:lpwstr>10, 0, 1, 1</vt:lpwstr>
  </property>
</Properties>
</file>